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/>
  <workbookPr refreshAllConnections="1"/>
  <mc:AlternateContent xmlns:mc="http://schemas.openxmlformats.org/markup-compatibility/2006">
    <mc:Choice Requires="x15">
      <x15ac:absPath xmlns:x15ac="http://schemas.microsoft.com/office/spreadsheetml/2010/11/ac" url="T:\especificos\excel\"/>
    </mc:Choice>
  </mc:AlternateContent>
  <xr:revisionPtr revIDLastSave="0" documentId="8_{F7D5D9AC-B515-4588-803D-B52FAC21A174}" xr6:coauthVersionLast="47" xr6:coauthVersionMax="47" xr10:uidLastSave="{00000000-0000-0000-0000-000000000000}"/>
  <bookViews>
    <workbookView xWindow="-120" yWindow="-120" windowWidth="29040" windowHeight="15720" activeTab="1" xr2:uid="{17FAA48C-FBB9-4AB6-8392-0010DF216710}"/>
  </bookViews>
  <sheets>
    <sheet name="Dados" sheetId="1" r:id="rId1"/>
    <sheet name="DATA-CFOP" sheetId="3" r:id="rId2"/>
    <sheet name="CFOP-DATA" sheetId="6" r:id="rId3"/>
    <sheet name="EMITENTE X DUP" sheetId="7" r:id="rId4"/>
  </sheets>
  <definedNames>
    <definedName name="_xlnm._FilterDatabase" localSheetId="0" hidden="1">Dados!$A$1:$AQ$356</definedName>
    <definedName name="nfs_conf" localSheetId="0">Dados!$A$2:$AN$399</definedName>
  </definedNames>
  <calcPr calcId="145621" refMode="R1C1"/>
  <pivotCaches>
    <pivotCache cacheId="11" r:id="rId5"/>
  </pivotCaches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tadeu silva parreiras</author>
  </authors>
  <commentList>
    <comment ref="AG1" authorId="0" shapeId="0" xr:uid="{E73E7674-5F9B-4B29-B0FC-5555A761546E}">
      <text>
        <r>
          <rPr>
            <b/>
            <sz val="9"/>
            <color indexed="81"/>
            <rFont val="Segoe UI"/>
            <family val="2"/>
          </rPr>
          <t>tadeu silva parreiras: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580EC75-2B04-4E31-86A7-7C761C266D2E}" name="nfs_sem_xml" type="6" refreshedVersion="8" background="1" refreshOnLoad="1" saveData="1">
    <textPr prompt="0" fileType="dos" sourceFile="C:\temp\esft998.txt" decimal="," thousands="." semicolon="1" delimiter="_x0000_">
      <textFields count="29">
        <textField type="text"/>
        <textField type="text"/>
        <textField type="text"/>
        <textField type="text"/>
        <textField type="text"/>
        <textField type="text"/>
        <textField type="DMY"/>
        <textField type="text"/>
        <textField type="text"/>
        <textField type="text"/>
        <textField type="text"/>
        <textField/>
        <textField/>
        <textField/>
        <textField/>
        <textField type="text"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<sst xmlns="http://schemas.openxmlformats.org/spreadsheetml/2006/main" count="570" uniqueCount="393">
  <si>
    <t>Nome Emitente</t>
  </si>
  <si>
    <t>CNPJ</t>
  </si>
  <si>
    <t>Cidade</t>
  </si>
  <si>
    <t>UF</t>
  </si>
  <si>
    <t>Serie</t>
  </si>
  <si>
    <t>CFOP</t>
  </si>
  <si>
    <t>Dt.Emissão</t>
  </si>
  <si>
    <t>Total Geral</t>
  </si>
  <si>
    <t>Dados</t>
  </si>
  <si>
    <t>XML Existe</t>
  </si>
  <si>
    <t>Vl.COFINS</t>
  </si>
  <si>
    <t>Vl.PIS</t>
  </si>
  <si>
    <t>Vl.ICMS NT.</t>
  </si>
  <si>
    <t>Vl.ICMS Outras</t>
  </si>
  <si>
    <t>Vl.ICMS</t>
  </si>
  <si>
    <t>Vl.Frete</t>
  </si>
  <si>
    <t>Vl.Embalagem</t>
  </si>
  <si>
    <t>Vl.Seguro</t>
  </si>
  <si>
    <t>Vl.Mercadoria</t>
  </si>
  <si>
    <t>Vl.Tot.NF</t>
  </si>
  <si>
    <t>Chave NFE</t>
  </si>
  <si>
    <t>Sit.NF.Eletro</t>
  </si>
  <si>
    <t>Cancelada?</t>
  </si>
  <si>
    <t>Pedido</t>
  </si>
  <si>
    <t>Emitente</t>
  </si>
  <si>
    <t>NF</t>
  </si>
  <si>
    <t>Estab.</t>
  </si>
  <si>
    <t>Nat.Operação</t>
  </si>
  <si>
    <t>Forma Emissão</t>
  </si>
  <si>
    <t>Tipo</t>
  </si>
  <si>
    <t>Gerou Duplicatas?</t>
  </si>
  <si>
    <t>TOTAL NF</t>
  </si>
  <si>
    <t>ICMS</t>
  </si>
  <si>
    <t>ICMS OUTRAS</t>
  </si>
  <si>
    <t>ICMS NT</t>
  </si>
  <si>
    <t>PIS</t>
  </si>
  <si>
    <t>COFINS</t>
  </si>
  <si>
    <t>6123</t>
  </si>
  <si>
    <t>6924</t>
  </si>
  <si>
    <t>(Tudo)</t>
  </si>
  <si>
    <t>6123 Total</t>
  </si>
  <si>
    <t>6924 Total</t>
  </si>
  <si>
    <t>Vl.Base Pis/cofins</t>
  </si>
  <si>
    <t>(vazio)</t>
  </si>
  <si>
    <t>(vazio) Total</t>
  </si>
  <si>
    <t>2202</t>
  </si>
  <si>
    <t>2202 Total</t>
  </si>
  <si>
    <t>Nota Ref.</t>
  </si>
  <si>
    <t>3102</t>
  </si>
  <si>
    <t>GLOBAL TEX04</t>
  </si>
  <si>
    <t>TEX COTTON</t>
  </si>
  <si>
    <t>6119</t>
  </si>
  <si>
    <t>6923</t>
  </si>
  <si>
    <t>ELIAN</t>
  </si>
  <si>
    <t>5123</t>
  </si>
  <si>
    <t>OSCAR REIS</t>
  </si>
  <si>
    <t>6119 Total</t>
  </si>
  <si>
    <t>6923 Total</t>
  </si>
  <si>
    <t>3102 Total</t>
  </si>
  <si>
    <t>5123 Total</t>
  </si>
  <si>
    <t>Cod.Emitente Ref.</t>
  </si>
  <si>
    <t>Série Nf. Ref.</t>
  </si>
  <si>
    <t>Data nf. Ref.</t>
  </si>
  <si>
    <t>Chave Nf. Ref.</t>
  </si>
  <si>
    <t>Razao social Nf. Ref.</t>
  </si>
  <si>
    <t>6106</t>
  </si>
  <si>
    <t>MEDTEXTIL IM</t>
  </si>
  <si>
    <t>6949</t>
  </si>
  <si>
    <t>SOU MAIS EU</t>
  </si>
  <si>
    <t>6910</t>
  </si>
  <si>
    <t>LUBELLA CONF</t>
  </si>
  <si>
    <t>AVERZZY IND</t>
  </si>
  <si>
    <t>SELES &amp; ALME</t>
  </si>
  <si>
    <t>ROLU</t>
  </si>
  <si>
    <t>MARISTELA OD</t>
  </si>
  <si>
    <t>VIDA MARINHA</t>
  </si>
  <si>
    <t>ANDERSON SA</t>
  </si>
  <si>
    <t>L C TEIXEIRA</t>
  </si>
  <si>
    <t>CLASSY MISSY</t>
  </si>
  <si>
    <t>IN LOVE CLOT</t>
  </si>
  <si>
    <t>SIVALSKI IND</t>
  </si>
  <si>
    <t>MK SERVICOS</t>
  </si>
  <si>
    <t>6949 Total</t>
  </si>
  <si>
    <t>6106 Total</t>
  </si>
  <si>
    <t>6910 Total</t>
  </si>
  <si>
    <t>Vl. IPI</t>
  </si>
  <si>
    <t>Vl. IPI Outras</t>
  </si>
  <si>
    <t>Vl. IPI NT.</t>
  </si>
  <si>
    <t>Não</t>
  </si>
  <si>
    <t>Sim</t>
  </si>
  <si>
    <t>Não Total</t>
  </si>
  <si>
    <t>Sim Total</t>
  </si>
  <si>
    <t xml:space="preserve"> Vl IPI</t>
  </si>
  <si>
    <t>Vl IPI NT.</t>
  </si>
  <si>
    <t>Vl IPI Outras</t>
  </si>
  <si>
    <t>Vl IPI</t>
  </si>
  <si>
    <t>Vl IPI NT</t>
  </si>
  <si>
    <t>Base Calc.ICMS</t>
  </si>
  <si>
    <t>D LINK</t>
  </si>
  <si>
    <t>EFRAIM ALVES</t>
  </si>
  <si>
    <t>MEM IND</t>
  </si>
  <si>
    <t>GIAECA INDUS</t>
  </si>
  <si>
    <t>PERUSSI CONF</t>
  </si>
  <si>
    <t>LECIMAR CONF</t>
  </si>
  <si>
    <t>CECILIA FERN</t>
  </si>
  <si>
    <t>AM</t>
  </si>
  <si>
    <t>TRIESSE</t>
  </si>
  <si>
    <t>VALPARAISO</t>
  </si>
  <si>
    <t>GERLUCE ANT</t>
  </si>
  <si>
    <t>ADKS CONF</t>
  </si>
  <si>
    <t>EMPORIO CR</t>
  </si>
  <si>
    <t>M J MIRANDA</t>
  </si>
  <si>
    <t>AURORA COM D</t>
  </si>
  <si>
    <t>VIGAT CONF</t>
  </si>
  <si>
    <t>D CARLO</t>
  </si>
  <si>
    <t>BANA BANA</t>
  </si>
  <si>
    <t>BETILHA</t>
  </si>
  <si>
    <t>6102</t>
  </si>
  <si>
    <t>AVIVA IND</t>
  </si>
  <si>
    <t>CONFERSIL</t>
  </si>
  <si>
    <t>F C SILVA</t>
  </si>
  <si>
    <t>AGITO 10</t>
  </si>
  <si>
    <t>ANISA</t>
  </si>
  <si>
    <t>KARTILAGEM</t>
  </si>
  <si>
    <t>INDUMENTUM</t>
  </si>
  <si>
    <t>BOSSA TEXTIL</t>
  </si>
  <si>
    <t>SIMON</t>
  </si>
  <si>
    <t>STRUFALDI</t>
  </si>
  <si>
    <t>GUILHERME PI</t>
  </si>
  <si>
    <t>BOBBY</t>
  </si>
  <si>
    <t>MARTENDAL</t>
  </si>
  <si>
    <t>S. M. L. VES</t>
  </si>
  <si>
    <t>SAMARA MODA</t>
  </si>
  <si>
    <t>ELHAUA</t>
  </si>
  <si>
    <t>MAX MABY S</t>
  </si>
  <si>
    <t>LORENA G</t>
  </si>
  <si>
    <t>CHADELEY</t>
  </si>
  <si>
    <t>MORADA E LEO</t>
  </si>
  <si>
    <t>J R ANDRADE</t>
  </si>
  <si>
    <t>MODELLE IND</t>
  </si>
  <si>
    <t>JOANA G</t>
  </si>
  <si>
    <t>CONF DI COL</t>
  </si>
  <si>
    <t>MODA SAO</t>
  </si>
  <si>
    <t>P M G</t>
  </si>
  <si>
    <t>TOTINI CONFE</t>
  </si>
  <si>
    <t>GIOVANNA D</t>
  </si>
  <si>
    <t>GABRIELA LOT</t>
  </si>
  <si>
    <t>CBC INDUST</t>
  </si>
  <si>
    <t>RANDA MUNDU</t>
  </si>
  <si>
    <t>KANDI COM</t>
  </si>
  <si>
    <t>PROSPERO MO</t>
  </si>
  <si>
    <t>RALF R LIMA</t>
  </si>
  <si>
    <t>C DA S</t>
  </si>
  <si>
    <t>AVIL05</t>
  </si>
  <si>
    <t>MARCOS ANDRA</t>
  </si>
  <si>
    <t>BRIGIDA FIOS</t>
  </si>
  <si>
    <t>GLMP</t>
  </si>
  <si>
    <t>FLAJO IND E</t>
  </si>
  <si>
    <t>DELUXE</t>
  </si>
  <si>
    <t>V L MEZANINI</t>
  </si>
  <si>
    <t>A B C LTDA</t>
  </si>
  <si>
    <t>BIG FASHIO</t>
  </si>
  <si>
    <t>CONF 2001</t>
  </si>
  <si>
    <t>MARIA DE FAT</t>
  </si>
  <si>
    <t>BEQUEST IND</t>
  </si>
  <si>
    <t>ADRIANO COST</t>
  </si>
  <si>
    <t>LAURA CONFEC</t>
  </si>
  <si>
    <t>LIELL CONF</t>
  </si>
  <si>
    <t>RIBEIRO E</t>
  </si>
  <si>
    <t>EXPRESSAO MO</t>
  </si>
  <si>
    <t>VIDA BABY CO</t>
  </si>
  <si>
    <t>C 2 CONFECCO</t>
  </si>
  <si>
    <t>ALINE FERREI</t>
  </si>
  <si>
    <t>SMTC</t>
  </si>
  <si>
    <t>DESTRO</t>
  </si>
  <si>
    <t>6102 Total</t>
  </si>
  <si>
    <t>Total Base Calc.ICMS</t>
  </si>
  <si>
    <t>HENRIQUE DO</t>
  </si>
  <si>
    <t>HY LAND IND</t>
  </si>
  <si>
    <t>THAIS ROD</t>
  </si>
  <si>
    <t>5106</t>
  </si>
  <si>
    <t>BEBE COALA</t>
  </si>
  <si>
    <t>LAIZA</t>
  </si>
  <si>
    <t>LISA</t>
  </si>
  <si>
    <t>5905</t>
  </si>
  <si>
    <t>ALPELO</t>
  </si>
  <si>
    <t>IT LOOK CONF</t>
  </si>
  <si>
    <t>WARDY</t>
  </si>
  <si>
    <t>BY CAROLA</t>
  </si>
  <si>
    <t>COTTON ST</t>
  </si>
  <si>
    <t>NATURAL TEXT</t>
  </si>
  <si>
    <t>GENESIO PERE</t>
  </si>
  <si>
    <t>MAR - QUENTE</t>
  </si>
  <si>
    <t>IVAN EDUARDO</t>
  </si>
  <si>
    <t>CONF ESMERAL</t>
  </si>
  <si>
    <t>RKS MODAS</t>
  </si>
  <si>
    <t>HURNA COMERC</t>
  </si>
  <si>
    <t>HURNA &amp; IZID</t>
  </si>
  <si>
    <t>SOZO COM</t>
  </si>
  <si>
    <t>QUEEN</t>
  </si>
  <si>
    <t>AQUI AGORA</t>
  </si>
  <si>
    <t>BOZA E DA RE</t>
  </si>
  <si>
    <t>IND GUILHERM</t>
  </si>
  <si>
    <t>SPINDOLA</t>
  </si>
  <si>
    <t>J P TECIDOS</t>
  </si>
  <si>
    <t>MILK N ROSES</t>
  </si>
  <si>
    <t>CLAUDIA M  P</t>
  </si>
  <si>
    <t>P V F LTDA</t>
  </si>
  <si>
    <t>RENATA ADRIA</t>
  </si>
  <si>
    <t>RLH</t>
  </si>
  <si>
    <t>A R F VARAND</t>
  </si>
  <si>
    <t>TRI FASHION</t>
  </si>
  <si>
    <t>IZZI MELLO</t>
  </si>
  <si>
    <t>I B MACEDO</t>
  </si>
  <si>
    <t>CASA HOME</t>
  </si>
  <si>
    <t>SHAOXING ANG</t>
  </si>
  <si>
    <t>A M O BRAND</t>
  </si>
  <si>
    <t>BRANDILI</t>
  </si>
  <si>
    <t>MUNCHEN</t>
  </si>
  <si>
    <t>DENARDI</t>
  </si>
  <si>
    <t>THAIS PEREIR</t>
  </si>
  <si>
    <t>ALGO</t>
  </si>
  <si>
    <t>J Y P CONF</t>
  </si>
  <si>
    <t>J Y P</t>
  </si>
  <si>
    <t>AREN</t>
  </si>
  <si>
    <t>ERVA DOC</t>
  </si>
  <si>
    <t>TOP</t>
  </si>
  <si>
    <t>PAOLA GARCIA</t>
  </si>
  <si>
    <t>LAVERA</t>
  </si>
  <si>
    <t>GONC VEIGAS</t>
  </si>
  <si>
    <t>PJR IND</t>
  </si>
  <si>
    <t>AVIAMUNDO</t>
  </si>
  <si>
    <t>MIZ CONF</t>
  </si>
  <si>
    <t>COLATINA</t>
  </si>
  <si>
    <t>HELMO LUIZ</t>
  </si>
  <si>
    <t>S E M TECIDO</t>
  </si>
  <si>
    <t>GRACIELE OL</t>
  </si>
  <si>
    <t>GUARARAPES C</t>
  </si>
  <si>
    <t>KTENNA COMER</t>
  </si>
  <si>
    <t xml:space="preserve">5924      </t>
  </si>
  <si>
    <t>MISS MILLIE</t>
  </si>
  <si>
    <t>GUSTAVO P</t>
  </si>
  <si>
    <t>CHAVE DE OU</t>
  </si>
  <si>
    <t>SCAR MODAS</t>
  </si>
  <si>
    <t>FLAJO IND</t>
  </si>
  <si>
    <t>DDAA IND</t>
  </si>
  <si>
    <t>TENDENCIA FA</t>
  </si>
  <si>
    <t>LILIANE ANGE</t>
  </si>
  <si>
    <t>CARVALHINHO</t>
  </si>
  <si>
    <t>MARIA AP  D</t>
  </si>
  <si>
    <t>OLHO VITAL</t>
  </si>
  <si>
    <t>JAQUELINE SL</t>
  </si>
  <si>
    <t>MANGO TANGO</t>
  </si>
  <si>
    <t>DANIELLE LIM</t>
  </si>
  <si>
    <t>PONTO MIX</t>
  </si>
  <si>
    <t>SHAOXING13</t>
  </si>
  <si>
    <t>CONF UNDONE</t>
  </si>
  <si>
    <t>DACK COM</t>
  </si>
  <si>
    <t>MAURICIO LTD</t>
  </si>
  <si>
    <t>RENATA QUEIR</t>
  </si>
  <si>
    <t>PINHEIRO M</t>
  </si>
  <si>
    <t>JULIANI IND</t>
  </si>
  <si>
    <t>BAZAR ROCHA</t>
  </si>
  <si>
    <t xml:space="preserve"> J G PREVIAT</t>
  </si>
  <si>
    <t>RPM MODA FEM</t>
  </si>
  <si>
    <t>VISUAL LTDA</t>
  </si>
  <si>
    <t>LOANDA J R C</t>
  </si>
  <si>
    <t>KEEZA COM</t>
  </si>
  <si>
    <t>RUN MORE IND</t>
  </si>
  <si>
    <t>MA BELLE</t>
  </si>
  <si>
    <t>FJL CONF</t>
  </si>
  <si>
    <t>ANGELA PATR</t>
  </si>
  <si>
    <t>BORANA INDUS</t>
  </si>
  <si>
    <t>R BENTES COM</t>
  </si>
  <si>
    <t>MA BELLE MOD</t>
  </si>
  <si>
    <t>INK ETIQUETA</t>
  </si>
  <si>
    <t>SALUME COM</t>
  </si>
  <si>
    <t>AMICIA CONF</t>
  </si>
  <si>
    <t>WANESSA DE S</t>
  </si>
  <si>
    <t>EVARTON</t>
  </si>
  <si>
    <t>MEGI COM</t>
  </si>
  <si>
    <t>MANASU</t>
  </si>
  <si>
    <t>MUNNAH</t>
  </si>
  <si>
    <t>MIQUERITA</t>
  </si>
  <si>
    <t>S &amp; S CONF</t>
  </si>
  <si>
    <t>SAN LOREN</t>
  </si>
  <si>
    <t>COLOR STORY</t>
  </si>
  <si>
    <t>DANIELE PITA</t>
  </si>
  <si>
    <t>ANA MARIA M</t>
  </si>
  <si>
    <t>IRENE ZANETT</t>
  </si>
  <si>
    <t>ARTE E BORDA</t>
  </si>
  <si>
    <t>ARILDO</t>
  </si>
  <si>
    <t>BREST MODA</t>
  </si>
  <si>
    <t>DEZIDERATTI</t>
  </si>
  <si>
    <t>YPE COMERCIO</t>
  </si>
  <si>
    <t>SONHO DE NEN</t>
  </si>
  <si>
    <t>LANNA FIOLI</t>
  </si>
  <si>
    <t>TIDY UP</t>
  </si>
  <si>
    <t>CASHIER</t>
  </si>
  <si>
    <t>JULIETA ROUP</t>
  </si>
  <si>
    <t>LUIS ALBERTO</t>
  </si>
  <si>
    <t>VINICIUS ALV</t>
  </si>
  <si>
    <t>ARAZEE CONF</t>
  </si>
  <si>
    <t>FJJ VENTURA</t>
  </si>
  <si>
    <t>TANIA REGINA</t>
  </si>
  <si>
    <t>MUNDI TEXTIL</t>
  </si>
  <si>
    <t>SIIIS LTDA</t>
  </si>
  <si>
    <t>EMPORIO D</t>
  </si>
  <si>
    <t>CRISTIANA MI</t>
  </si>
  <si>
    <t>COMPASSO</t>
  </si>
  <si>
    <t>COY COMERCIO</t>
  </si>
  <si>
    <t>MM TEX</t>
  </si>
  <si>
    <t>PRODUZIDA</t>
  </si>
  <si>
    <t>5119</t>
  </si>
  <si>
    <t>NANILEZ CONF</t>
  </si>
  <si>
    <t>5923</t>
  </si>
  <si>
    <t>JURKONIS</t>
  </si>
  <si>
    <t>TICO COM</t>
  </si>
  <si>
    <t>FABIO EUZEB</t>
  </si>
  <si>
    <t>J L FERREIRA</t>
  </si>
  <si>
    <t>T D S</t>
  </si>
  <si>
    <t>R S COSTA</t>
  </si>
  <si>
    <t>DI MIRMAY</t>
  </si>
  <si>
    <t>MARINA VAZ</t>
  </si>
  <si>
    <t>PROTEXTIL PA</t>
  </si>
  <si>
    <t>ARAMODU 1</t>
  </si>
  <si>
    <t>MAURO MERLO</t>
  </si>
  <si>
    <t>UNDERTOP</t>
  </si>
  <si>
    <t>CASA TICO</t>
  </si>
  <si>
    <t>PROBIDO</t>
  </si>
  <si>
    <t>RJET COM</t>
  </si>
  <si>
    <t>MALHARIA L</t>
  </si>
  <si>
    <t>ROSA MINEIRA</t>
  </si>
  <si>
    <t>GITAA COM</t>
  </si>
  <si>
    <t>MULIZINI</t>
  </si>
  <si>
    <t>BOLUX</t>
  </si>
  <si>
    <t>FASHION STAR</t>
  </si>
  <si>
    <t>MODAS GIO</t>
  </si>
  <si>
    <t>ANA ADELIA</t>
  </si>
  <si>
    <t>CASPARY</t>
  </si>
  <si>
    <t>M C REBOUCAS</t>
  </si>
  <si>
    <t>MAIANE SAMOR</t>
  </si>
  <si>
    <t>CHIC COM</t>
  </si>
  <si>
    <t>MAR HER MODA</t>
  </si>
  <si>
    <t>FAZENDA BOA</t>
  </si>
  <si>
    <t>GAROTA OUSAD</t>
  </si>
  <si>
    <t>NAYARA CARLA</t>
  </si>
  <si>
    <t>C TENDENZA</t>
  </si>
  <si>
    <t>FRASSON</t>
  </si>
  <si>
    <t>MARLA T B DA</t>
  </si>
  <si>
    <t>GDN IND</t>
  </si>
  <si>
    <t>EMBALLEGE</t>
  </si>
  <si>
    <t>FERREIRA CAN</t>
  </si>
  <si>
    <t>CHARRY</t>
  </si>
  <si>
    <t>M D M MARQUE</t>
  </si>
  <si>
    <t>VANESSA KERN</t>
  </si>
  <si>
    <t>ABALLOU CONF</t>
  </si>
  <si>
    <t>ALEKIDS</t>
  </si>
  <si>
    <t>CLEZI TEXTIL</t>
  </si>
  <si>
    <t>CASA DO PANO</t>
  </si>
  <si>
    <t>MARINA E</t>
  </si>
  <si>
    <t>H &amp; L ROUP</t>
  </si>
  <si>
    <t>MOD AMONT</t>
  </si>
  <si>
    <t>SELO VERDE</t>
  </si>
  <si>
    <t>M J A GOMES</t>
  </si>
  <si>
    <t>CLEGITAM IND</t>
  </si>
  <si>
    <t>NISIS CONFEC</t>
  </si>
  <si>
    <t>EDESIO</t>
  </si>
  <si>
    <t>RJM EMP</t>
  </si>
  <si>
    <t>UNIFORMES EX</t>
  </si>
  <si>
    <t>CUSTOMIZE IN</t>
  </si>
  <si>
    <t>03/02/2025 Total</t>
  </si>
  <si>
    <t>04/02/2025 Total</t>
  </si>
  <si>
    <t>05/02/2025 Total</t>
  </si>
  <si>
    <t>06/02/2025 Total</t>
  </si>
  <si>
    <t>07/02/2025 Total</t>
  </si>
  <si>
    <t>08/02/2025 Total</t>
  </si>
  <si>
    <t>10/02/2025 Total</t>
  </si>
  <si>
    <t>11/02/2025 Total</t>
  </si>
  <si>
    <t>12/02/2025 Total</t>
  </si>
  <si>
    <t>13/02/2025 Total</t>
  </si>
  <si>
    <t>14/02/2025 Total</t>
  </si>
  <si>
    <t>17/02/2025 Total</t>
  </si>
  <si>
    <t>18/02/2025 Total</t>
  </si>
  <si>
    <t>19/02/2025 Total</t>
  </si>
  <si>
    <t>20/02/2025 Total</t>
  </si>
  <si>
    <t>21/02/2025 Total</t>
  </si>
  <si>
    <t>24/02/2025 Total</t>
  </si>
  <si>
    <t>5106 Total</t>
  </si>
  <si>
    <t>5905 Total</t>
  </si>
  <si>
    <t>5924       Total</t>
  </si>
  <si>
    <t>5119 Total</t>
  </si>
  <si>
    <t>5923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</si>
</sst>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#,##0.00_ ;\-#,##0.00\ "/>
  </numFmts>
  <fonts count="4" x14ac:knownFonts="1">
    <font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/>
      <right/>
      <top style="thin">
        <color rgb="FFABABAB"/>
      </top>
      <bottom/>
      <diagonal/>
    </border>
    <border>
      <left/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/>
      <bottom/>
      <diagonal/>
    </border>
    <border>
      <left/>
      <right style="thin">
        <color rgb="FFABABAB"/>
      </right>
      <top/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/>
      <right/>
      <top style="thin">
        <color rgb="FFABABAB"/>
      </top>
      <bottom style="thin">
        <color rgb="FFABABAB"/>
      </bottom>
      <diagonal/>
    </border>
    <border>
      <left/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ABABAB"/>
      </top>
      <bottom style="thin">
        <color rgb="FFABABAB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40">
    <xf numFmtId="0" fontId="0" fillId="0" borderId="0" xfId="0"/>
    <xf numFmtId="49" fontId="0" fillId="0" borderId="0" xfId="0" applyNumberFormat="1"/>
    <xf numFmtId="164" fontId="3" fillId="0" borderId="0" xfId="1" applyNumberFormat="1" applyFont="1"/>
    <xf numFmtId="49" fontId="3" fillId="0" borderId="0" xfId="1" applyNumberFormat="1" applyFont="1"/>
    <xf numFmtId="0" fontId="3" fillId="0" borderId="0" xfId="1" applyNumberFormat="1" applyFont="1" applyAlignment="1">
      <alignment horizontal="left"/>
    </xf>
    <xf numFmtId="43" fontId="3" fillId="0" borderId="0" xfId="1" applyFont="1"/>
    <xf numFmtId="43" fontId="3" fillId="0" borderId="0" xfId="1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4" fontId="0" fillId="0" borderId="0" xfId="0" applyNumberFormat="1"/>
    <xf numFmtId="14" fontId="3" fillId="0" borderId="0" xfId="1" applyNumberFormat="1" applyFont="1" applyAlignment="1">
      <alignment horizontal="left"/>
    </xf>
    <xf numFmtId="1" fontId="3" fillId="0" borderId="0" xfId="1" applyNumberFormat="1" applyFont="1" applyAlignment="1">
      <alignment horizontal="left"/>
    </xf>
    <xf numFmtId="0" fontId="3" fillId="0" borderId="0" xfId="1" applyNumberFormat="1" applyFont="1"/>
    <xf numFmtId="14" fontId="3" fillId="0" borderId="0" xfId="1" applyNumberFormat="1" applyFont="1"/>
    <xf numFmtId="1" fontId="3" fillId="0" borderId="0" xfId="1" applyNumberFormat="1" applyFont="1"/>
    <xf numFmtId="0" fontId="0" fillId="0" borderId="1" xfId="0" applyBorder="1"/>
    <xf numFmtId="0" fontId="0" fillId="0" borderId="2" xfId="0" applyBorder="1"/>
    <xf numFmtId="0" fontId="0" fillId="0" borderId="1" xfId="0" pivotButton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14" fontId="0" fillId="0" borderId="1" xfId="0" applyNumberFormat="1" applyBorder="1"/>
    <xf numFmtId="4" fontId="0" fillId="0" borderId="1" xfId="0" applyNumberFormat="1" applyBorder="1"/>
    <xf numFmtId="4" fontId="0" fillId="0" borderId="4" xfId="0" applyNumberFormat="1" applyBorder="1"/>
    <xf numFmtId="4" fontId="0" fillId="0" borderId="5" xfId="0" applyNumberFormat="1" applyBorder="1"/>
    <xf numFmtId="14" fontId="0" fillId="0" borderId="6" xfId="0" applyNumberFormat="1" applyBorder="1"/>
    <xf numFmtId="4" fontId="0" fillId="0" borderId="6" xfId="0" applyNumberFormat="1" applyBorder="1"/>
    <xf numFmtId="4" fontId="0" fillId="0" borderId="7" xfId="0" applyNumberFormat="1" applyBorder="1"/>
    <xf numFmtId="0" fontId="0" fillId="0" borderId="8" xfId="0" applyBorder="1"/>
    <xf numFmtId="4" fontId="0" fillId="0" borderId="8" xfId="0" applyNumberFormat="1" applyBorder="1"/>
    <xf numFmtId="4" fontId="0" fillId="0" borderId="9" xfId="0" applyNumberFormat="1" applyBorder="1"/>
    <xf numFmtId="4" fontId="0" fillId="0" borderId="10" xfId="0" applyNumberFormat="1" applyBorder="1"/>
    <xf numFmtId="0" fontId="0" fillId="0" borderId="11" xfId="0" pivotButton="1" applyBorder="1"/>
    <xf numFmtId="0" fontId="0" fillId="0" borderId="11" xfId="0" applyBorder="1"/>
    <xf numFmtId="0" fontId="0" fillId="0" borderId="6" xfId="0" applyBorder="1"/>
    <xf numFmtId="0" fontId="0" fillId="0" borderId="12" xfId="0" applyBorder="1"/>
    <xf numFmtId="0" fontId="0" fillId="0" borderId="13" xfId="0" applyBorder="1"/>
    <xf numFmtId="0" fontId="0" fillId="0" borderId="4" xfId="0" applyNumberFormat="1" applyBorder="1"/>
    <xf numFmtId="0" fontId="0" fillId="0" borderId="0" xfId="0" applyNumberFormat="1"/>
    <xf numFmtId="0" fontId="0" fillId="0" borderId="9" xfId="0" applyNumberFormat="1" applyBorder="1"/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driano Martins" refreshedDate="45713.42943877315" createdVersion="8" refreshedVersion="8" recordCount="1554" xr:uid="{4483241A-0FFF-42BB-B1B5-753597198C9A}">
  <cacheSource type="worksheet">
    <worksheetSource ref="A1:AN65932" sheet="Dados"/>
  </cacheSource>
  <cacheFields count="40">
    <cacheField name="Estab." numFmtId="0">
      <sharedItems containsBlank="1" count="3">
        <s v="505"/>
        <m/>
        <s v="5" u="1"/>
      </sharedItems>
    </cacheField>
    <cacheField name="NF" numFmtId="0">
      <sharedItems containsBlank="1"/>
    </cacheField>
    <cacheField name="Serie" numFmtId="0">
      <sharedItems containsBlank="1"/>
    </cacheField>
    <cacheField name="Tipo" numFmtId="0">
      <sharedItems containsBlank="1"/>
    </cacheField>
    <cacheField name="Emitente" numFmtId="0">
      <sharedItems containsBlank="1"/>
    </cacheField>
    <cacheField name="Nome Emitente" numFmtId="0">
      <sharedItems containsBlank="1" count="796">
        <s v="MARIA DE FAT"/>
        <s v="HENRIQUE DO"/>
        <s v="AURORA COM D"/>
        <s v="BOSSA TEXTIL"/>
        <s v="AVIVA IND"/>
        <s v="HY LAND IND"/>
        <s v="BIG FASHIO"/>
        <s v="THAIS ROD"/>
        <s v="LECIMAR CONF"/>
        <s v="BEBE COALA"/>
        <s v="LAIZA"/>
        <s v="LISA"/>
        <s v="ALPELO"/>
        <s v="MEDTEXTIL IM"/>
        <s v="M J MIRANDA"/>
        <s v="IT LOOK CONF"/>
        <s v="WARDY"/>
        <s v="BRIGIDA FIOS"/>
        <s v="BY CAROLA"/>
        <s v="COTTON ST"/>
        <s v="MAX MABY S"/>
        <s v="NATURAL TEXT"/>
        <s v="TRIESSE"/>
        <s v="GENESIO PERE"/>
        <s v="MAR - QUENTE"/>
        <s v="KARTILAGEM"/>
        <s v="IVAN EDUARDO"/>
        <s v="AVERZZY IND"/>
        <s v="CONF ESMERAL"/>
        <s v="RKS MODAS"/>
        <s v="HURNA COMERC"/>
        <s v="HURNA &amp; IZID"/>
        <s v="SOZO COM"/>
        <s v="LIELL CONF"/>
        <s v="QUEEN"/>
        <s v="AQUI AGORA"/>
        <s v="INDUMENTUM"/>
        <s v="BOZA E DA RE"/>
        <s v="IND GUILHERM"/>
        <s v="SPINDOLA"/>
        <s v="J P TECIDOS"/>
        <s v="AGITO 10"/>
        <s v="MILK N ROSES"/>
        <s v="CLAUDIA M  P"/>
        <s v="P V F LTDA"/>
        <s v="RENATA ADRIA"/>
        <s v="CONF 2001"/>
        <s v="RLH"/>
        <s v="A R F VARAND"/>
        <s v="LUBELLA CONF"/>
        <s v="V L MEZANINI"/>
        <s v="MEM IND"/>
        <s v="TRI FASHION"/>
        <s v="PERUSSI CONF"/>
        <s v="IZZI MELLO"/>
        <s v="MARISTELA OD"/>
        <s v="I B MACEDO"/>
        <s v="CLASSY MISSY"/>
        <s v="CASA HOME"/>
        <s v="GLOBAL TEX04"/>
        <s v="SHAOXING ANG"/>
        <s v="A M O BRAND"/>
        <s v="BRANDILI"/>
        <s v="MUNCHEN"/>
        <s v="STRUFALDI"/>
        <s v="GUILHERME PI"/>
        <s v="DENARDI"/>
        <s v="SOU MAIS EU"/>
        <s v="THAIS PEREIR"/>
        <s v="ALGO"/>
        <s v="J Y P CONF"/>
        <s v="J Y P"/>
        <s v="AREN"/>
        <s v="CECILIA FERN"/>
        <s v="ERVA DOC"/>
        <s v="GIAECA INDUS"/>
        <s v="TOP"/>
        <s v="PAOLA GARCIA"/>
        <s v="LAVERA"/>
        <s v="GONC VEIGAS"/>
        <s v="PJR IND"/>
        <s v="AVIAMUNDO"/>
        <s v="MIZ CONF"/>
        <s v="HELMO LUIZ"/>
        <s v="JOANA G"/>
        <s v="S E M TECIDO"/>
        <s v="GRACIELE OL"/>
        <s v="GUARARAPES C"/>
        <s v="KTENNA COMER"/>
        <s v="CONF DI COL"/>
        <s v="SIVALSKI IND"/>
        <s v="MK SERVICOS"/>
        <s v="MISS MILLIE"/>
        <s v="GUSTAVO P"/>
        <s v="CHAVE DE OU"/>
        <s v="SCAR MODAS"/>
        <s v="PROSPERO MO"/>
        <s v="SIMON"/>
        <s v="BEQUEST IND"/>
        <s v="ADRIANO COST"/>
        <s v="FLAJO IND"/>
        <s v="DDAA IND"/>
        <s v="TENDENCIA FA"/>
        <s v="LILIANE ANGE"/>
        <s v="CARVALHINHO"/>
        <s v="DELUXE"/>
        <s v="ADKS CONF"/>
        <s v="MARIA AP  D"/>
        <s v="AVIL05"/>
        <s v="ANISA"/>
        <s v="D CARLO"/>
        <s v="OLHO VITAL"/>
        <s v="VALPARAISO"/>
        <s v="BETILHA"/>
        <s v="JAQUELINE SL"/>
        <s v="C DA S"/>
        <s v="MANGO TANGO"/>
        <s v="BANA BANA"/>
        <s v="DANIELLE LIM"/>
        <s v="PONTO MIX"/>
        <s v="SHAOXING13"/>
        <s v="CONF UNDONE"/>
        <s v="DACK COM"/>
        <s v="MAURICIO LTD"/>
        <s v="VIDA BABY CO"/>
        <s v="ELHAUA"/>
        <s v="RENATA QUEIR"/>
        <s v="TEX COTTON"/>
        <s v="PINHEIRO M"/>
        <s v="JULIANI IND"/>
        <s v="BAZAR ROCHA"/>
        <s v=" J G PREVIAT"/>
        <s v="P M G"/>
        <s v="RPM MODA FEM"/>
        <s v="VISUAL LTDA"/>
        <s v="LOANDA J R C"/>
        <s v="J R ANDRADE"/>
        <s v="ALINE FERREI"/>
        <s v="MARTENDAL"/>
        <s v="KEEZA COM"/>
        <s v="RUN MORE IND"/>
        <s v="MA BELLE"/>
        <s v="FJL CONF"/>
        <s v="RIBEIRO E"/>
        <s v="ANGELA PATR"/>
        <s v="BORANA INDUS"/>
        <s v="R BENTES COM"/>
        <s v="GERLUCE ANT"/>
        <s v="F C SILVA"/>
        <s v="MA BELLE MOD"/>
        <s v="INK ETIQUETA"/>
        <s v="IN LOVE CLOT"/>
        <s v="SALUME COM"/>
        <s v="AMICIA CONF"/>
        <s v="WANESSA DE S"/>
        <s v="EVARTON"/>
        <s v="LORENA G"/>
        <s v="MODELLE IND"/>
        <s v="SAMARA MODA"/>
        <s v="MEGI COM"/>
        <s v="MANASU"/>
        <s v="RANDA MUNDU"/>
        <s v="MUNNAH"/>
        <s v="MIQUERITA"/>
        <s v="S &amp; S CONF"/>
        <s v="COLATINA"/>
        <s v="SAN LOREN"/>
        <s v="AM"/>
        <s v="MORADA E LEO"/>
        <s v="COLOR STORY"/>
        <s v="DANIELE PITA"/>
        <s v="ANA MARIA M"/>
        <s v="IRENE ZANETT"/>
        <s v="SMTC"/>
        <s v="ARTE E BORDA"/>
        <s v="ARILDO"/>
        <s v="BREST MODA"/>
        <s v="DEZIDERATTI"/>
        <s v="VIDA MARINHA"/>
        <s v="A B C LTDA"/>
        <s v="YPE COMERCIO"/>
        <s v="SONHO DE NEN"/>
        <s v="KANDI COM"/>
        <s v="LANNA FIOLI"/>
        <s v="TIDY UP"/>
        <s v="CASHIER"/>
        <s v="JULIETA ROUP"/>
        <s v="LUIS ALBERTO"/>
        <s v="VINICIUS ALV"/>
        <s v="ARAZEE CONF"/>
        <s v="FJJ VENTURA"/>
        <s v="TANIA REGINA"/>
        <s v="MUNDI TEXTIL"/>
        <s v="GABRIELA LOT"/>
        <s v="S. M. L. VES"/>
        <s v="EMPORIO CR"/>
        <s v="SIIIS LTDA"/>
        <s v="EMPORIO D"/>
        <s v="CRISTIANA MI"/>
        <s v="COMPASSO"/>
        <s v="COY COMERCIO"/>
        <s v="FLAJO IND E"/>
        <s v="MM TEX"/>
        <s v="PRODUZIDA"/>
        <s v="NANILEZ CONF"/>
        <s v="JURKONIS"/>
        <s v="GLMP"/>
        <s v="TICO COM"/>
        <s v="FABIO EUZEB"/>
        <s v="J L FERREIRA"/>
        <s v="T D S"/>
        <s v="R S COSTA"/>
        <s v="DI MIRMAY"/>
        <s v="MARINA VAZ"/>
        <s v="PROTEXTIL PA"/>
        <s v="ARAMODU 1"/>
        <s v="C 2 CONFECCO"/>
        <s v="CHADELEY"/>
        <s v="MAURO MERLO"/>
        <s v="UNDERTOP"/>
        <s v="CASA TICO"/>
        <s v="GIOVANNA D"/>
        <s v="PROBIDO"/>
        <s v="TOTINI CONFE"/>
        <s v="RJET COM"/>
        <s v="EFRAIM ALVES"/>
        <s v="CONFERSIL"/>
        <s v="MALHARIA L"/>
        <s v="ROSA MINEIRA"/>
        <s v="GITAA COM"/>
        <s v="ANDERSON SA"/>
        <s v="MULIZINI"/>
        <s v="RALF R LIMA"/>
        <s v="BOLUX"/>
        <s v="FASHION STAR"/>
        <s v="MODAS GIO"/>
        <s v="ANA ADELIA"/>
        <s v="BOBBY"/>
        <s v="CASPARY"/>
        <s v="VIGAT CONF"/>
        <s v="LAURA CONFEC"/>
        <s v="M C REBOUCAS"/>
        <s v="MAIANE SAMOR"/>
        <s v="CHIC COM"/>
        <s v="MAR HER MODA"/>
        <s v="FAZENDA BOA"/>
        <s v="MODA SAO"/>
        <s v="GAROTA OUSAD"/>
        <s v="MARCOS ANDRA"/>
        <s v="EXPRESSAO MO"/>
        <s v="ROLU"/>
        <s v="DESTRO"/>
        <s v="NAYARA CARLA"/>
        <s v="C TENDENZA"/>
        <s v="FRASSON"/>
        <s v="MARLA T B DA"/>
        <s v="GDN IND"/>
        <s v="EMBALLEGE"/>
        <s v="FERREIRA CAN"/>
        <s v="CBC INDUST"/>
        <s v="ELIAN"/>
        <s v="CHARRY"/>
        <s v="L C TEIXEIRA"/>
        <s v="M D M MARQUE"/>
        <s v="VANESSA KERN"/>
        <s v="D LINK"/>
        <s v="ABALLOU CONF"/>
        <s v="ALEKIDS"/>
        <s v="OSCAR REIS"/>
        <s v="CLEZI TEXTIL"/>
        <s v="CASA DO PANO"/>
        <s v="MARINA E"/>
        <s v="H &amp; L ROUP"/>
        <s v="MOD AMONT"/>
        <s v="SELO VERDE"/>
        <s v="M J A GOMES"/>
        <s v="CLEGITAM IND"/>
        <s v="NISIS CONFEC"/>
        <s v="EDESIO"/>
        <s v="RJM EMP"/>
        <s v="UNIFORMES EX"/>
        <s v="CUSTOMIZE IN"/>
        <s v="SELES &amp; ALME"/>
        <m/>
        <s v="CONF RAFREE" u="1"/>
        <s v="LINHA LEVE" u="1"/>
        <s v="MARCO TEXTIL" u="1"/>
        <s v="DI SELEN" u="1"/>
        <s v="OTONI DE" u="1"/>
        <s v="HOGAN" u="1"/>
        <s v="CRONER SANTO" u="1"/>
        <s v="YELLOW" u="1"/>
        <s v="MIKAMIX IND" u="1"/>
        <s v="ISABEL R" u="1"/>
        <s v="SHIRLEY GOME" u="1"/>
        <s v="LUCAS GALDIN" u="1"/>
        <s v="EVENT" u="1"/>
        <s v="PAULA B" u="1"/>
        <s v="CONF SPROUT" u="1"/>
        <s v="RIBEIRO" u="1"/>
        <s v="V M BENTES" u="1"/>
        <s v="J.R. DA SILV" u="1"/>
        <s v="EMPORIO IN C" u="1"/>
        <s v="CONF ZINA" u="1"/>
        <s v="PURA ESSENC" u="1"/>
        <s v="ARZ INDUSTRI" u="1"/>
        <s v="GENERAL" u="1"/>
        <s v="MARINA FEOLA" u="1"/>
        <s v="K L P CONF" u="1"/>
        <s v="NEWBABY CONF" u="1"/>
        <s v="OB MONTANO" u="1"/>
        <s v="ANDREA BITEN" u="1"/>
        <s v="D B LEITE" u="1"/>
        <s v="A M C TEXTIL" u="1"/>
        <s v="D S BIBAS" u="1"/>
        <s v="MORENA ROS" u="1"/>
        <s v="STYLEZEE CON" u="1"/>
        <s v="ZINSK" u="1"/>
        <s v="SUN JOO KIM" u="1"/>
        <s v="DUPLA" u="1"/>
        <s v="CASA BOA VIS" u="1"/>
        <s v="NATURAE COM" u="1"/>
        <s v="BEATRIZ MEDE" u="1"/>
        <s v="MILANI" u="1"/>
        <s v="A RIGOR" u="1"/>
        <s v="STUDIO 170" u="1"/>
        <s v="MALAGUETTA" u="1"/>
        <s v="JULIO SOBRIN" u="1"/>
        <s v="ALENICE IND" u="1"/>
        <s v="SUPERLOJA TE" u="1"/>
        <s v="MARIA G F AL" u="1"/>
        <s v="CHESED" u="1"/>
        <s v="SALDAO CONF" u="1"/>
        <s v="LORE" u="1"/>
        <s v="LUCIENE ALVE" u="1"/>
        <s v="VINTE E NOVE" u="1"/>
        <s v="MARCOS VINIC" u="1"/>
        <s v="VENI VIDI" u="1"/>
        <s v="LPH" u="1"/>
        <s v="J P L DE LUC" u="1"/>
        <s v="CHOCOLEITE" u="1"/>
        <s v="LEMON BASICS" u="1"/>
        <s v="PANACEIA MOD" u="1"/>
        <s v="CASSIA NAHAS" u="1"/>
        <s v="SHEILA E" u="1"/>
        <s v="SARAIVA" u="1"/>
        <s v="RIBEIRO C" u="1"/>
        <s v="ITALIA COML" u="1"/>
        <s v="ANA FLORA" u="1"/>
        <s v="G P BRASIL" u="1"/>
        <s v="R P BUREAUX" u="1"/>
        <s v="DIGITAL INF" u="1"/>
        <s v="LANFEL" u="1"/>
        <s v="VICIO CONF" u="1"/>
        <s v="DOUVELIN" u="1"/>
        <s v="DI GRECCO" u="1"/>
        <s v="CSHR COM" u="1"/>
        <s v="FERNANDES CO" u="1"/>
        <s v="PIXIE" u="1"/>
        <s v="FYK CONFECCO" u="1"/>
        <s v="HERCHA CONF" u="1"/>
        <s v="CONF SHADOW" u="1"/>
        <s v="MULBORA" u="1"/>
        <s v="BASTIGLIA" u="1"/>
        <s v="STIRPE MODAS" u="1"/>
        <s v="CAMPOS DUART" u="1"/>
        <s v="ORELLANA" u="1"/>
        <s v="UNIQUE" u="1"/>
        <s v="M A BUENO CO" u="1"/>
        <s v="HERMELINO CO" u="1"/>
        <s v="BARBARA SARM" u="1"/>
        <s v="ATELIE PIMPN" u="1"/>
        <s v="JOLULAR MODA" u="1"/>
        <s v="HCA IGUACU C" u="1"/>
        <s v="ELOI MOURA" u="1"/>
        <s v="OLIVA" u="1"/>
        <s v="MANDALA IND" u="1"/>
        <s v="ADLES" u="1"/>
        <s v="BELLA P" u="1"/>
        <s v="THIAGO ARNAU" u="1"/>
        <s v="MARY GO" u="1"/>
        <s v="CONF ALINE 3" u="1"/>
        <s v="DEVLIN" u="1"/>
        <s v="NOUVELLE MOD" u="1"/>
        <s v="TON AGE" u="1"/>
        <s v="LDF IND E CO" u="1"/>
        <s v="SINHWA KIM" u="1"/>
        <s v="BLUE HAVEN" u="1"/>
        <s v="AURA" u="1"/>
        <s v="HZZ COML" u="1"/>
        <s v="ANDREASSI" u="1"/>
        <s v="INBRANDS IN" u="1"/>
        <s v="D D DE CARV" u="1"/>
        <s v="SHANTE FASHI" u="1"/>
        <s v="CENTER MAGAZ" u="1"/>
        <s v="DIEGO D BALB" u="1"/>
        <s v="CLUBINHO" u="1"/>
        <s v="E P DOS SAN" u="1"/>
        <s v="NEILA ALVES" u="1"/>
        <s v="NISERCO" u="1"/>
        <s v="PELE ROSADA" u="1"/>
        <s v="R DOS S VIT" u="1"/>
        <s v="ZION CONF" u="1"/>
        <s v="NIKOLAS VAZ" u="1"/>
        <s v="ROSANGELA S" u="1"/>
        <s v="NAPOLES" u="1"/>
        <s v="PINHEIRO IN" u="1"/>
        <s v="NAZARETH C A" u="1"/>
        <s v="GABRIEL PERE" u="1"/>
        <s v="PLANO IND" u="1"/>
        <s v="SINSEDAE MOD" u="1"/>
        <s v="MAXI PLUS" u="1"/>
        <s v="HOLANDA COM" u="1"/>
        <s v="BAMBOLE IND" u="1"/>
        <s v="H C SILVA" u="1"/>
        <s v="JAVANESA" u="1"/>
        <s v="GATO MIA" u="1"/>
        <s v="NEW FREE" u="1"/>
        <s v="JOAO LUIZ C" u="1"/>
        <s v="CASSIA SOUTO" u="1"/>
        <s v="LOJAS RENNER" u="1"/>
        <s v="RF COMEX ASS" u="1"/>
        <s v="ITAGUACU BRA" u="1"/>
        <s v="VIDA TEXTIL" u="1"/>
        <s v="JE FERNANDES" u="1"/>
        <s v="TUBARAO TECI" u="1"/>
        <s v="CF8 CONFECCO" u="1"/>
        <s v="T M PERES &amp;" u="1"/>
        <s v="RHENZO DA SI" u="1"/>
        <s v="COUROQUIMICA" u="1"/>
        <s v="T SANTOS" u="1"/>
        <s v="FAUSEL ACESS" u="1"/>
        <s v="ANNA BYSS" u="1"/>
        <s v="WARLLEY DE" u="1"/>
        <s v="AVERARA CONF" u="1"/>
        <s v="HOUSE TEXTIL" u="1"/>
        <s v="M JORGE" u="1"/>
        <s v="PEREGRINO" u="1"/>
        <s v="ANALITA DIAS" u="1"/>
        <s v="ROSIMEIRE B" u="1"/>
        <s v="JB SANTOS" u="1"/>
        <s v="BADUCHI" u="1"/>
        <s v="BEZ BATTI" u="1"/>
        <s v="SOUNG YONG" u="1"/>
        <s v="KALIE MODAS" u="1"/>
        <s v="ROSIMEIRE MO" u="1"/>
        <s v="PECI CONF" u="1"/>
        <s v="LONG WALK" u="1"/>
        <s v="KABRIOLLI 02" u="1"/>
        <s v="OPF COMERCIO" u="1"/>
        <s v="CONF COCOA" u="1"/>
        <s v="CA SOUZA" u="1"/>
        <s v="F R  PAVESI" u="1"/>
        <s v="CR" u="1"/>
        <s v="E S CONF" u="1"/>
        <s v="UZE MOVE" u="1"/>
        <s v="V J COM" u="1"/>
        <s v="KETTLYN" u="1"/>
        <s v="ROSA C" u="1"/>
        <s v="EDNA GOMES D" u="1"/>
        <s v="BEBELIZE IND" u="1"/>
        <s v="V R R IND" u="1"/>
        <s v="KBC IND" u="1"/>
        <s v="CONFECCOES S" u="1"/>
        <s v="TREE SISTERS" u="1"/>
        <s v="CHARM S MV" u="1"/>
        <s v="RABUSCH MATR" u="1"/>
        <s v="JL STORE IND" u="1"/>
        <s v="HEMIX CONF" u="1"/>
        <s v="MON SUCRÉ CO" u="1"/>
        <s v="LYKKE MODA" u="1"/>
        <s v="HAMBRICK" u="1"/>
        <s v="LIVY MALHAS" u="1"/>
        <s v="C L DO ROCHA" u="1"/>
        <s v="CONCEITTO CO" u="1"/>
        <s v="HANANA COM" u="1"/>
        <s v="SWEETIE" u="1"/>
        <s v="R D ARNAUD" u="1"/>
        <s v="MARIANI TEXT" u="1"/>
        <s v="AVIP COOP" u="1"/>
        <s v="MCELVA" u="1"/>
        <s v="CUPLOVER CON" u="1"/>
        <s v="TEXARTE" u="1"/>
        <s v="ZERO" u="1"/>
        <s v="KLEMS CONFEC" u="1"/>
        <s v="ESTER LINA" u="1"/>
        <s v="R V COM DE" u="1"/>
        <s v="SANTOS CAIAF" u="1"/>
        <s v="ELZA PERES" u="1"/>
        <s v="APOA CO" u="1"/>
        <s v="FBR CONFECÇÕ" u="1"/>
        <s v="MISS LADY CO" u="1"/>
        <s v="DENILSO" u="1"/>
        <s v="NINI &amp;" u="1"/>
        <s v="OLDMEIA" u="1"/>
        <s v="LAVINI COM" u="1"/>
        <s v="MAYDU KIDS" u="1"/>
        <s v="LIKKIDS CONF" u="1"/>
        <s v="AMOREM" u="1"/>
        <s v="BE EIGHT" u="1"/>
        <s v="AFO COMERCIO" u="1"/>
        <s v="CMA DE PAULA" u="1"/>
        <s v="MARIA NUNES" u="1"/>
        <s v="ESPERANZA AC" u="1"/>
        <s v="REBOUÇAS" u="1"/>
        <s v="MARIA APRE" u="1"/>
        <s v="GEISISLAINE" u="1"/>
        <s v="CARACOLES" u="1"/>
        <s v="SKY LIFE IND" u="1"/>
        <s v="ALESSANDRO G" u="1"/>
        <s v="INVENTTA MOD" u="1"/>
        <s v="IRMAOS ALEX" u="1"/>
        <s v="RITMI CONF" u="1"/>
        <s v="M F" u="1"/>
        <s v="TICO TEC" u="1"/>
        <s v="DELIGHT MODA" u="1"/>
        <s v="CARDOSO PILO" u="1"/>
        <s v="GUILHERME OB" u="1"/>
        <s v="GSGF IND" u="1"/>
        <s v="P J G BORGES" u="1"/>
        <s v="UZEDA" u="1"/>
        <s v="MBL TECIDOS" u="1"/>
        <s v="FABIANO N DE" u="1"/>
        <s v="CERRO TORRE" u="1"/>
        <s v="LIZETE IZABE" u="1"/>
        <s v="BY PICLE" u="1"/>
        <s v="WS MODASLTDA" u="1"/>
        <s v="COOL LIKE MA" u="1"/>
        <s v="CAMPINENSE71" u="1"/>
        <s v="PARADISE" u="1"/>
        <s v="HB CONF" u="1"/>
        <s v="BONITO PRA" u="1"/>
        <s v="TREVO INDUST" u="1"/>
        <s v="TEXSTAR INDU" u="1"/>
        <s v="WARUSKY" u="1"/>
        <s v="KILLUCHA" u="1"/>
        <s v="CONF ACUCENA" u="1"/>
        <s v="E C K CONF" u="1"/>
        <s v="MODAS" u="1"/>
        <s v="CALI STORE" u="1"/>
        <s v="KIRED CONF" u="1"/>
        <s v="PSS CONF" u="1"/>
        <s v="IDE FRANCISC" u="1"/>
        <s v="SARONITA IND" u="1"/>
        <s v="HAES CONF" u="1"/>
        <s v="SM COMERCIO" u="1"/>
        <s v="PAKITA IND" u="1"/>
        <s v="MEDITERRANEA" u="1"/>
        <s v="FHAVAN" u="1"/>
        <s v="KARISTEN DA" u="1"/>
        <s v="MESCOLIN" u="1"/>
        <s v="TEMPO CERTO" u="1"/>
        <s v="SAPPIRA CONF" u="1"/>
        <s v="GADDIEL CONF" u="1"/>
        <s v="PARI" u="1"/>
        <s v="QUALITE" u="1"/>
        <s v="LAPOGEE CONF" u="1"/>
        <s v="RICA INDUSTR" u="1"/>
        <s v="BRUNAT COM" u="1"/>
        <s v="PEDRO JOSE P" u="1"/>
        <s v="GUSTAVO COME" u="1"/>
        <s v="TREZE TEXTIL" u="1"/>
        <s v="NAMINE CONF" u="1"/>
        <s v="NAMINE CONFE" u="1"/>
        <s v="BONNE MINI" u="1"/>
        <s v="RENESSE CO" u="1"/>
        <s v="NATHAN TECID" u="1"/>
        <s v="TORI BY" u="1"/>
        <s v="DAP INDUSTRI" u="1"/>
        <s v="DIONICE DE J" u="1"/>
        <s v="ENTRETONS C" u="1"/>
        <s v="S M DE FRANC" u="1"/>
        <s v="MARIA INGA" u="1"/>
        <s v="ODILON COR" u="1"/>
        <s v="VANESSA DE M" u="1"/>
        <s v="A C A DA C P" u="1"/>
        <s v="US2 J CONF" u="1"/>
        <s v="SCB CHAMUSCA" u="1"/>
        <s v="QUEIROZ COM" u="1"/>
        <s v="WILSON G" u="1"/>
        <s v="MARLENE ARIS" u="1"/>
        <s v="ICLEIA D" u="1"/>
        <s v="ODHARA" u="1"/>
        <s v="PAULO EDUARD" u="1"/>
        <s v="JEFERSON DE" u="1"/>
        <s v="CLEUSINHA M" u="1"/>
        <s v=" R. E. INDUS" u="1"/>
        <s v="F D M" u="1"/>
        <s v="CITY BLUE" u="1"/>
        <s v="METTA INDUST" u="1"/>
        <s v="CORENSA FILI" u="1"/>
        <s v="MODISTA TEXT" u="1"/>
        <s v="DONNA PRETA" u="1"/>
        <s v="M ALMEID" u="1"/>
        <s v="CHAVILLE FAS" u="1"/>
        <s v="M A LOUZADA" u="1"/>
        <s v="P H F" u="1"/>
        <s v="LIS LIS CONF" u="1"/>
        <s v="SALIS IND" u="1"/>
        <s v="SHAMARIZ" u="1"/>
        <s v="SOUFER IMPOR" u="1"/>
        <s v="RIVIERA LTDA" u="1"/>
        <s v="MI IN" u="1"/>
        <s v="D ALIN" u="1"/>
        <s v="SPECIFIC" u="1"/>
        <s v="BILITON" u="1"/>
        <s v="PERSONALITA" u="1"/>
        <s v="MARIAN IND" u="1"/>
        <s v="A E G REPRES" u="1"/>
        <s v="CHARLES RAMO" u="1"/>
        <s v="J M PEREIRA" u="1"/>
        <s v="ESOTERICA" u="1"/>
        <s v="SPADA COM DE" u="1"/>
        <s v="HYOO" u="1"/>
        <s v="POLIVEST" u="1"/>
        <s v="RDG JEANS" u="1"/>
        <s v="KF IND TEXTI" u="1"/>
        <s v="JUNG MIN SEO" u="1"/>
        <s v="SSANG" u="1"/>
        <s v="BRAZIL DEL" u="1"/>
        <s v="JOSE FEITOSA" u="1"/>
        <s v="ALEXANDRA SA" u="1"/>
        <s v="MIX77" u="1"/>
        <s v="M M CASTRO" u="1"/>
        <s v="SG COM VAREJ" u="1"/>
        <s v="TJ COM VAREJ" u="1"/>
        <s v="PONTUAL TEC" u="1"/>
        <s v="DARLENE LOPE" u="1"/>
        <s v="DGP" u="1"/>
        <s v="DOMINGUES" u="1"/>
        <s v="ANA P MOURA" u="1"/>
        <s v="AUTHENTIC 58" u="1"/>
        <s v="PONTO DUPLO" u="1"/>
        <s v="IKE PANUS" u="1"/>
        <s v="ROCHA LTDA" u="1"/>
        <s v="M C COLCHOES" u="1"/>
        <s v="JANON" u="1"/>
        <s v="BEBETENKITE" u="1"/>
        <s v="CONF CLUB" u="1"/>
        <s v="WITZ COM" u="1"/>
        <s v="ACLOE IND" u="1"/>
        <s v="M S SAAB CON" u="1"/>
        <s v="GLN CONF" u="1"/>
        <s v="BEM BOLAD CO" u="1"/>
        <s v="BEM BOLADO" u="1"/>
        <s v="NEUSIMARA" u="1"/>
        <s v="CAJUERA" u="1"/>
        <s v="JOANA COLI" u="1"/>
        <s v="MARIA IND" u="1"/>
        <s v="DAP E DEM CO" u="1"/>
        <s v="MALABARIS" u="1"/>
        <s v="UNITY SEVEN" u="1"/>
        <s v="BIAB" u="1"/>
        <s v="ESPATHI" u="1"/>
        <s v="JOAO KENNEDY" u="1"/>
        <s v="C. TUNU F." u="1"/>
        <s v="FINAMOR CONF" u="1"/>
        <s v="KHALED MOHAM" u="1"/>
        <s v="FLY IND E CO" u="1"/>
        <s v="NORMA" u="1"/>
        <s v="RENOVA TEC" u="1"/>
        <s v="MAEBARA" u="1"/>
        <s v="MADRIK IND" u="1"/>
        <s v="PETRA TEC" u="1"/>
        <s v="ELAINE RESEN" u="1"/>
        <s v="ENXOVAIS MIN" u="1"/>
        <s v="D FELINE MOD" u="1"/>
        <s v="SPES COM" u="1"/>
        <s v="JAMILE" u="1"/>
        <s v="ZR ZAMPIERI" u="1"/>
        <s v="ESTILO TN" u="1"/>
        <s v="TEC 25 DE MA" u="1"/>
        <s v="MNJ CONF" u="1"/>
        <s v="LEOTECI TEC" u="1"/>
        <s v="TAMPONI" u="1"/>
        <s v="CSA CONF" u="1"/>
        <s v="PRAQNOME" u="1"/>
        <s v="PRA" u="1"/>
        <s v="FEMINICES DE" u="1"/>
        <s v="ALL STAR" u="1"/>
        <s v="CASA TOP" u="1"/>
        <s v="L C COM D" u="1"/>
        <s v="PEPITA COM" u="1"/>
        <s v="VANESSA ANDR" u="1"/>
        <s v="TEREZA BATIS" u="1"/>
        <s v="WICKHAM" u="1"/>
        <s v="FABIANA NOLE" u="1"/>
        <s v="DI DANDA" u="1"/>
        <s v="KANETEXTIL" u="1"/>
        <s v="C E CORREIA" u="1"/>
        <s v="HEITOR LANAT" u="1"/>
        <s v="M R F COSTA" u="1"/>
        <s v="STUMPF" u="1"/>
        <s v="CHARMY" u="1"/>
        <s v="BRUNA OLIV" u="1"/>
        <s v="ANAMES RIO" u="1"/>
        <s v="MARIA VIVALD" u="1"/>
        <s v="M ALVES D" u="1"/>
        <s v="MARCELA VER" u="1"/>
        <s v="LABET COM DE" u="1"/>
        <s v="ROGERIO GUAR" u="1"/>
        <s v="M C DOS SANT" u="1"/>
        <s v="WOLFSTORE" u="1"/>
        <s v="MELLOW ME" u="1"/>
        <s v="ANGELA MACHA" u="1"/>
        <s v="GIMNA" u="1"/>
        <s v="INNOVTEXTIL" u="1"/>
        <s v="CONF CONY" u="1"/>
        <s v="CONF E CONY" u="1"/>
        <s v="SKRAP" u="1"/>
        <s v="LARAPHY" u="1"/>
        <s v="BY FORMA" u="1"/>
        <s v="CORENSA IND" u="1"/>
        <s v="CHAVE DE OUR" u="1"/>
        <s v="FL CONF" u="1"/>
        <s v="HERMOSA" u="1"/>
        <s v="ONNURI" u="1"/>
        <s v="SISNANDO" u="1"/>
        <s v="TULANA" u="1"/>
        <s v="L A DUARTE" u="1"/>
        <s v="THAIS OLIVEI" u="1"/>
        <s v="NEIVA LU" u="1"/>
        <s v="BRUNO NEVES" u="1"/>
        <s v="INFINITYX IM" u="1"/>
        <s v="JADSON HENRI" u="1"/>
        <s v="FLY COMPANY" u="1"/>
        <s v="KARYO CHARLE" u="1"/>
        <s v="TANGLEICA" u="1"/>
        <s v="JFMV" u="1"/>
        <s v="M B C DOS SA" u="1"/>
        <s v="NEWCO" u="1"/>
        <s v="NOVA REIS" u="1"/>
        <s v="NATURAL COMP" u="1"/>
        <s v="BL CAMPOS" u="1"/>
        <s v="TESSOL COM" u="1"/>
        <s v="MARCOS AN" u="1"/>
        <s v="VICTORIA DEL" u="1"/>
        <s v=" LASALA CONF" u="1"/>
        <s v="LASALA" u="1"/>
        <s v="CASAS CARDOS" u="1"/>
        <s v="CONF JUBORA" u="1"/>
        <s v="GILA S MODAS" u="1"/>
        <s v="W R ALENCAR" u="1"/>
        <s v="KORIUM" u="1"/>
        <s v="INFINITYX" u="1"/>
        <s v="BUFOM" u="1"/>
        <s v="GRECCHI" u="1"/>
        <s v="RENATO MALUF" u="1"/>
        <s v="D G MALUF FE" u="1"/>
        <s v="ESTILO A IND" u="1"/>
        <s v="PINK GROUP" u="1"/>
        <s v="LANESI" u="1"/>
        <s v="O RICARDAO" u="1"/>
        <s v="M J S ROCHA" u="1"/>
        <s v="BRANDS KIDS" u="1"/>
        <s v="MELARE" u="1"/>
        <s v="LIMA TECIDOS" u="1"/>
        <s v="ZEGALES" u="1"/>
        <s v="BIRO DESIGN" u="1"/>
        <s v="PACKPLAS" u="1"/>
        <s v="SALOMON" u="1"/>
        <s v="FAKINI" u="1"/>
        <s v="MARCEL-BR" u="1"/>
        <s v="G CARNEIRO" u="1"/>
        <s v="LUCIA RIB" u="1"/>
        <s v="D J COMERCIO" u="1"/>
        <s v="TRINYS" u="1"/>
        <s v="TATIANO DOS" u="1"/>
        <s v="JT MACHADO" u="1"/>
        <s v="NOVA TEC" u="1"/>
        <s v="ARTHUR VINIC" u="1"/>
        <s v="PORTULLACA" u="1"/>
        <s v="MADRI BELLE" u="1"/>
        <s v="CASALINDA" u="1"/>
        <s v="4CLIMB" u="1"/>
        <s v="KOMPOSICAO P" u="1"/>
        <s v="TEREMAR" u="1"/>
        <s v="RAINHA NOIVA" u="1"/>
        <s v="CONF H E C L" u="1"/>
        <s v="EXTENSAO C" u="1"/>
        <s v="OITI BRASIL" u="1"/>
        <s v="INTENSE COM" u="1"/>
        <s v="AE YOUNG" u="1"/>
        <s v="ARACATUBA" u="1"/>
        <s v="MMS CONFEC" u="1"/>
        <s v="SPERANDIO" u="1"/>
        <s v="GABRY ELLA" u="1"/>
        <s v="HATUS" u="1"/>
        <s v="BIAMAR" u="1"/>
        <s v="KBA CONF" u="1"/>
        <s v="V3 IND E COM" u="1"/>
        <s v="TAMARIS MODA" u="1"/>
        <s v="VENDRAMIN" u="1"/>
        <s v="PREDILECT 5" u="1"/>
        <s v="TOUJOURS IND" u="1"/>
        <s v="SJT COM" u="1"/>
      </sharedItems>
    </cacheField>
    <cacheField name="Dt.Emissão" numFmtId="0">
      <sharedItems containsNonDate="0" containsDate="1" containsString="0" containsBlank="1" minDate="2024-07-01T00:00:00" maxDate="2025-02-25T00:00:00" count="35">
        <d v="2025-02-03T00:00:00"/>
        <d v="2025-02-04T00:00:00"/>
        <d v="2025-02-05T00:00:00"/>
        <d v="2025-02-06T00:00:00"/>
        <d v="2025-02-07T00:00:00"/>
        <d v="2025-02-08T00:00:00"/>
        <d v="2025-02-10T00:00:00"/>
        <d v="2025-02-11T00:00:00"/>
        <d v="2025-02-12T00:00:00"/>
        <d v="2025-02-13T00:00:00"/>
        <d v="2025-02-14T00:00:00"/>
        <d v="2025-02-17T00:00:00"/>
        <d v="2025-02-18T00:00:00"/>
        <d v="2025-02-19T00:00:00"/>
        <d v="2025-02-20T00:00:00"/>
        <d v="2025-02-21T00:00:00"/>
        <d v="2025-02-24T00:00:00"/>
        <m/>
        <d v="2024-07-01T00:00:00" u="1"/>
        <d v="2024-07-02T00:00:00" u="1"/>
        <d v="2024-07-03T00:00:00" u="1"/>
        <d v="2024-07-04T00:00:00" u="1"/>
        <d v="2024-07-05T00:00:00" u="1"/>
        <d v="2024-07-08T00:00:00" u="1"/>
        <d v="2024-07-09T00:00:00" u="1"/>
        <d v="2024-07-10T00:00:00" u="1"/>
        <d v="2024-07-11T00:00:00" u="1"/>
        <d v="2024-07-12T00:00:00" u="1"/>
        <d v="2024-07-15T00:00:00" u="1"/>
        <d v="2024-07-16T00:00:00" u="1"/>
        <d v="2024-07-17T00:00:00" u="1"/>
        <d v="2024-07-18T00:00:00" u="1"/>
        <d v="2024-07-19T00:00:00" u="1"/>
        <d v="2024-07-22T00:00:00" u="1"/>
        <d v="2024-07-23T00:00:00" u="1"/>
      </sharedItems>
    </cacheField>
    <cacheField name="Nat.Operação" numFmtId="0">
      <sharedItems containsBlank="1"/>
    </cacheField>
    <cacheField name="CFOP" numFmtId="0">
      <sharedItems containsBlank="1" count="20">
        <s v="6106"/>
        <s v="6123"/>
        <s v="6924"/>
        <s v="6119"/>
        <s v="6923"/>
        <s v="5106"/>
        <s v="5905"/>
        <s v="6910"/>
        <s v="6949"/>
        <s v="3102"/>
        <s v="5123"/>
        <s v="5924      "/>
        <s v="6102"/>
        <s v="2202"/>
        <s v="5119"/>
        <s v="5923"/>
        <m/>
        <s v="5102" u="1"/>
        <s v="5910" u="1"/>
        <s v="2949" u="1"/>
      </sharedItems>
    </cacheField>
    <cacheField name="Pedido" numFmtId="0">
      <sharedItems containsBlank="1"/>
    </cacheField>
    <cacheField name="CNPJ" numFmtId="0">
      <sharedItems containsBlank="1"/>
    </cacheField>
    <cacheField name="Cidade" numFmtId="0">
      <sharedItems containsBlank="1"/>
    </cacheField>
    <cacheField name="UF" numFmtId="0">
      <sharedItems containsBlank="1" count="23">
        <s v="SP"/>
        <s v="PE"/>
        <s v="RJ"/>
        <s v="SC"/>
        <s v="MG"/>
        <s v="PR"/>
        <s v="ES"/>
        <s v="RS"/>
        <s v="BA"/>
        <s v="CE"/>
        <s v="EX"/>
        <s v="GO"/>
        <s v="RO"/>
        <s v="RN"/>
        <s v="PA"/>
        <s v="SE"/>
        <m/>
        <s v="MA" u="1"/>
        <s v="AM" u="1"/>
        <s v="PB" u="1"/>
        <s v="PI" u="1"/>
        <s v="TO" u="1"/>
        <s v="AL" u="1"/>
      </sharedItems>
    </cacheField>
    <cacheField name="Cancelada?" numFmtId="0">
      <sharedItems containsBlank="1" count="3">
        <s v="Sim"/>
        <s v="Não"/>
        <m/>
      </sharedItems>
    </cacheField>
    <cacheField name="Sit.NF.Eletro" numFmtId="0">
      <sharedItems containsBlank="1"/>
    </cacheField>
    <cacheField name="Chave NFE" numFmtId="0">
      <sharedItems containsBlank="1"/>
    </cacheField>
    <cacheField name="Forma Emissão" numFmtId="0">
      <sharedItems containsBlank="1"/>
    </cacheField>
    <cacheField name="Vl.Tot.NF" numFmtId="43">
      <sharedItems containsString="0" containsBlank="1" containsNumber="1" minValue="-1164128.25" maxValue="811067"/>
    </cacheField>
    <cacheField name="Vl.Mercadoria" numFmtId="43">
      <sharedItems containsString="0" containsBlank="1" containsNumber="1" minValue="-811067" maxValue="811067"/>
    </cacheField>
    <cacheField name="Vl.Seguro" numFmtId="43">
      <sharedItems containsString="0" containsBlank="1" containsNumber="1" minValue="-839.37" maxValue="0"/>
    </cacheField>
    <cacheField name="Vl.Embalagem" numFmtId="43">
      <sharedItems containsString="0" containsBlank="1" containsNumber="1" minValue="-323905.76" maxValue="0"/>
    </cacheField>
    <cacheField name="Vl.Frete" numFmtId="43">
      <sharedItems containsString="0" containsBlank="1" containsNumber="1" minValue="-30881.9" maxValue="262.39999999999998"/>
    </cacheField>
    <cacheField name="Vl.ICMS" numFmtId="43">
      <sharedItems containsString="0" containsBlank="1" containsNumber="1" minValue="-309.66000000000003" maxValue="3192.72"/>
    </cacheField>
    <cacheField name="Vl.ICMS Outras" numFmtId="43">
      <sharedItems containsString="0" containsBlank="1" containsNumber="1" minValue="-1164128.25" maxValue="811067"/>
    </cacheField>
    <cacheField name="Vl.ICMS NT." numFmtId="43">
      <sharedItems containsString="0" containsBlank="1" containsNumber="1" minValue="0" maxValue="7859.55"/>
    </cacheField>
    <cacheField name="Vl. IPI" numFmtId="43">
      <sharedItems containsString="0" containsBlank="1" containsNumber="1" minValue="0" maxValue="859.19"/>
    </cacheField>
    <cacheField name="Vl. IPI Outras" numFmtId="43">
      <sharedItems containsString="0" containsBlank="1" containsNumber="1" minValue="-1058680.3400000001" maxValue="811067"/>
    </cacheField>
    <cacheField name="Vl. IPI NT." numFmtId="43">
      <sharedItems containsString="0" containsBlank="1" containsNumber="1" containsInteger="1" minValue="0" maxValue="0"/>
    </cacheField>
    <cacheField name="Vl.Base Pis/cofins" numFmtId="43">
      <sharedItems containsString="0" containsBlank="1" containsNumber="1" minValue="-840222.49" maxValue="811067"/>
    </cacheField>
    <cacheField name="Vl.PIS" numFmtId="43">
      <sharedItems containsString="0" containsBlank="1" containsNumber="1" minValue="-17644.669999999998" maxValue="13382.61"/>
    </cacheField>
    <cacheField name="Vl.COFINS" numFmtId="43">
      <sharedItems containsString="0" containsBlank="1" containsNumber="1" minValue="-81081.48" maxValue="61641.08"/>
    </cacheField>
    <cacheField name="XML Existe" numFmtId="0">
      <sharedItems containsBlank="1" count="3">
        <s v="Não"/>
        <m/>
        <s v="Sim" u="1"/>
      </sharedItems>
    </cacheField>
    <cacheField name="Gerou Duplicatas?" numFmtId="0">
      <sharedItems containsBlank="1" count="3">
        <s v="Sim"/>
        <s v="Não"/>
        <m/>
      </sharedItems>
    </cacheField>
    <cacheField name="Nota Ref." numFmtId="0">
      <sharedItems containsString="0" containsBlank="1" containsNumber="1" containsInteger="1" minValue="6266" maxValue="9852"/>
    </cacheField>
    <cacheField name="Série Nf. Ref." numFmtId="0">
      <sharedItems containsString="0" containsBlank="1" containsNumber="1" containsInteger="1" minValue="2" maxValue="2"/>
    </cacheField>
    <cacheField name="Cod.Emitente Ref." numFmtId="1">
      <sharedItems containsString="0" containsBlank="1" containsNumber="1" containsInteger="1" minValue="0" maxValue="40546"/>
    </cacheField>
    <cacheField name="Razao social Nf. Ref." numFmtId="1">
      <sharedItems containsBlank="1"/>
    </cacheField>
    <cacheField name="Data nf. Ref." numFmtId="14">
      <sharedItems containsNonDate="0" containsDate="1" containsString="0" containsBlank="1" minDate="2024-07-02T00:00:00" maxDate="2025-02-22T00:00:00"/>
    </cacheField>
    <cacheField name="Chave Nf. Ref." numFmtId="1">
      <sharedItems containsBlank="1"/>
    </cacheField>
    <cacheField name="Base Calc.ICMS" numFmtId="43">
      <sharedItems containsString="0" containsBlank="1" containsNumber="1" minValue="-7741.51" maxValue="79817.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54">
  <r>
    <x v="0"/>
    <s v="0009475"/>
    <s v="2"/>
    <s v="NFS"/>
    <s v="9125"/>
    <x v="0"/>
    <x v="0"/>
    <s v="610611"/>
    <x v="0"/>
    <s v="343707"/>
    <s v="'02454596000125"/>
    <s v="VARZEA PAULISTA"/>
    <x v="0"/>
    <x v="0"/>
    <s v="Documento Cancelado"/>
    <s v="'42250206013812000581550020000094751953138250"/>
    <s v="Normal"/>
    <n v="7994.14"/>
    <n v="7994.14"/>
    <n v="0"/>
    <n v="0"/>
    <n v="0"/>
    <n v="319.77"/>
    <n v="0"/>
    <n v="0"/>
    <n v="0"/>
    <n v="7994.14"/>
    <n v="0"/>
    <n v="7674.37"/>
    <n v="126.62"/>
    <n v="583.25"/>
    <x v="0"/>
    <x v="0"/>
    <m/>
    <m/>
    <n v="0"/>
    <m/>
    <m/>
    <s v="'"/>
    <n v="7994.14"/>
  </r>
  <r>
    <x v="0"/>
    <s v="0009476"/>
    <s v="2"/>
    <s v="NFS"/>
    <s v="40432"/>
    <x v="1"/>
    <x v="0"/>
    <s v="610610"/>
    <x v="0"/>
    <s v="346148"/>
    <s v="'42067774000180"/>
    <s v="SANTA CRUZ DO CAPIBARIBE"/>
    <x v="1"/>
    <x v="0"/>
    <s v="Documento Cancelado"/>
    <s v="'42250206013812000581550020000094761321542273"/>
    <s v="Normal"/>
    <n v="6496.42"/>
    <n v="6372.94"/>
    <n v="0"/>
    <n v="0"/>
    <n v="123.48"/>
    <n v="259.86"/>
    <n v="0"/>
    <n v="0"/>
    <n v="0"/>
    <n v="6496.42"/>
    <n v="0"/>
    <n v="6496.42"/>
    <n v="107.19"/>
    <n v="493.73"/>
    <x v="0"/>
    <x v="0"/>
    <m/>
    <m/>
    <n v="0"/>
    <m/>
    <m/>
    <s v="'"/>
    <n v="6496.42"/>
  </r>
  <r>
    <x v="0"/>
    <s v="0009477"/>
    <s v="2"/>
    <s v="NFS"/>
    <s v="39402"/>
    <x v="2"/>
    <x v="0"/>
    <s v="612305"/>
    <x v="1"/>
    <s v="346856"/>
    <s v="'53803876000132"/>
    <s v="RESENDE"/>
    <x v="2"/>
    <x v="1"/>
    <s v="Uso autorizado"/>
    <s v="'42250206013812000581550020000094771787710365"/>
    <s v="Normal"/>
    <n v="3479.9"/>
    <n v="3479.9"/>
    <n v="0"/>
    <n v="0"/>
    <n v="0"/>
    <n v="139.19999999999999"/>
    <n v="0"/>
    <n v="0"/>
    <n v="0"/>
    <n v="3479.9"/>
    <n v="0"/>
    <n v="3340.7"/>
    <n v="55.13"/>
    <n v="253.88"/>
    <x v="0"/>
    <x v="0"/>
    <n v="9478"/>
    <n v="2"/>
    <n v="39402"/>
    <s v="AURORA COM DE ROUPAS LTDA"/>
    <d v="2025-02-03T00:00:00"/>
    <s v="'42250206013812000581550020000094781847168372"/>
    <n v="3479.9"/>
  </r>
  <r>
    <x v="0"/>
    <s v="0009478"/>
    <s v="2"/>
    <s v="NFS"/>
    <s v="39871"/>
    <x v="3"/>
    <x v="0"/>
    <s v="612302"/>
    <x v="2"/>
    <m/>
    <s v="'55209162000126"/>
    <s v="RIO DE JANEIRO"/>
    <x v="2"/>
    <x v="1"/>
    <s v="Uso autorizado"/>
    <s v="'42250206013812000581550020000094781847168372"/>
    <s v="Normal"/>
    <n v="3479.9"/>
    <n v="3479.9"/>
    <n v="0"/>
    <n v="0"/>
    <n v="0"/>
    <n v="0"/>
    <n v="0"/>
    <n v="3479.9"/>
    <n v="0"/>
    <n v="3479.9"/>
    <n v="0"/>
    <n v="0"/>
    <n v="0"/>
    <n v="0"/>
    <x v="0"/>
    <x v="1"/>
    <n v="9477"/>
    <n v="2"/>
    <n v="39871"/>
    <s v="BOSSA TEXTIL COM VAREJISTA DE TECIDOS LTDA"/>
    <d v="2025-02-03T00:00:00"/>
    <s v="'42250206013812000581550020000094771787710365"/>
    <n v="0"/>
  </r>
  <r>
    <x v="0"/>
    <s v="0009479"/>
    <s v="2"/>
    <s v="NFS"/>
    <s v="37069"/>
    <x v="4"/>
    <x v="0"/>
    <s v="612303"/>
    <x v="3"/>
    <s v="345720"/>
    <s v="'26263093000130"/>
    <s v="SAO PAULO"/>
    <x v="0"/>
    <x v="1"/>
    <s v="Uso autorizado"/>
    <s v="'42250206013812000581550020000094791988054834"/>
    <s v="Normal"/>
    <n v="9844.11"/>
    <n v="9844.11"/>
    <n v="0"/>
    <n v="0"/>
    <n v="0"/>
    <n v="393.76"/>
    <n v="0"/>
    <n v="0"/>
    <n v="0"/>
    <n v="14063.02"/>
    <n v="0"/>
    <n v="9450.35"/>
    <n v="155.93"/>
    <n v="718.23"/>
    <x v="0"/>
    <x v="0"/>
    <n v="9480"/>
    <n v="2"/>
    <n v="37069"/>
    <s v="AVIVA INDUSTRIA E COMERCIO DE CONFECCOES LTDA"/>
    <d v="2025-02-03T00:00:00"/>
    <s v="'42250206013812000581550020000094801915710902"/>
    <n v="9844.11"/>
  </r>
  <r>
    <x v="0"/>
    <s v="0009480"/>
    <s v="2"/>
    <s v="NFS"/>
    <s v="36139"/>
    <x v="5"/>
    <x v="0"/>
    <s v="612304"/>
    <x v="4"/>
    <m/>
    <s v="'33462744000187"/>
    <s v="SAO PAULO"/>
    <x v="0"/>
    <x v="1"/>
    <s v="Uso autorizado"/>
    <s v="'42250206013812000581550020000094801915710902"/>
    <s v="Normal"/>
    <n v="9844.11"/>
    <n v="9844.11"/>
    <n v="0"/>
    <n v="0"/>
    <n v="0"/>
    <n v="0"/>
    <n v="9844.11"/>
    <n v="0"/>
    <n v="0"/>
    <n v="9844.11"/>
    <n v="0"/>
    <n v="0"/>
    <n v="0"/>
    <n v="0"/>
    <x v="0"/>
    <x v="1"/>
    <n v="9479"/>
    <n v="2"/>
    <n v="36139"/>
    <s v="HY LAND INDUSTRIA E COMERCIO DE CONFECCOES LTDA"/>
    <d v="2025-02-03T00:00:00"/>
    <s v="'42250206013812000581550020000094791988054834"/>
    <n v="0"/>
  </r>
  <r>
    <x v="0"/>
    <s v="0009481"/>
    <s v="2"/>
    <s v="NFS"/>
    <s v="35675"/>
    <x v="6"/>
    <x v="0"/>
    <s v="610611"/>
    <x v="0"/>
    <s v="344033"/>
    <s v="'04327260000127"/>
    <s v="AMERICANA"/>
    <x v="0"/>
    <x v="1"/>
    <s v="Uso autorizado"/>
    <s v="'42250206013812000581550020000094811207568234"/>
    <s v="Normal"/>
    <n v="16264.47"/>
    <n v="16264.47"/>
    <n v="0"/>
    <n v="0"/>
    <n v="0"/>
    <n v="650.58000000000004"/>
    <n v="0"/>
    <n v="0"/>
    <n v="0"/>
    <n v="16264.47"/>
    <n v="0"/>
    <n v="15613.89"/>
    <n v="257.63"/>
    <n v="1186.6600000000001"/>
    <x v="0"/>
    <x v="0"/>
    <m/>
    <m/>
    <n v="0"/>
    <m/>
    <m/>
    <s v="'"/>
    <n v="16264.47"/>
  </r>
  <r>
    <x v="0"/>
    <s v="0009482"/>
    <s v="2"/>
    <s v="NFS"/>
    <s v="9125"/>
    <x v="0"/>
    <x v="0"/>
    <s v="610611"/>
    <x v="0"/>
    <s v="343707"/>
    <s v="'02454596000125"/>
    <s v="VARZEA PAULISTA"/>
    <x v="0"/>
    <x v="1"/>
    <s v="Uso autorizado"/>
    <s v="'42250206013812000581550020000094821833663123"/>
    <s v="Normal"/>
    <n v="7994.14"/>
    <n v="7994.14"/>
    <n v="0"/>
    <n v="0"/>
    <n v="0"/>
    <n v="319.77"/>
    <n v="0"/>
    <n v="0"/>
    <n v="0"/>
    <n v="7994.14"/>
    <n v="0"/>
    <n v="7674.37"/>
    <n v="126.62"/>
    <n v="583.25"/>
    <x v="0"/>
    <x v="0"/>
    <m/>
    <m/>
    <n v="0"/>
    <m/>
    <m/>
    <s v="'"/>
    <n v="7994.14"/>
  </r>
  <r>
    <x v="0"/>
    <s v="0009483"/>
    <s v="2"/>
    <s v="NFS"/>
    <s v="33049"/>
    <x v="7"/>
    <x v="0"/>
    <s v="610611"/>
    <x v="0"/>
    <s v="347161"/>
    <s v="'13771702000110"/>
    <s v="SAO PAULO"/>
    <x v="0"/>
    <x v="1"/>
    <s v="Uso autorizado"/>
    <s v="'42250206013812000581550020000094831495043765"/>
    <s v="Normal"/>
    <n v="41135.94"/>
    <n v="41135.94"/>
    <n v="0"/>
    <n v="0"/>
    <n v="0"/>
    <n v="1645.44"/>
    <n v="0"/>
    <n v="0"/>
    <n v="0"/>
    <n v="41135.94"/>
    <n v="0"/>
    <n v="39490.5"/>
    <n v="651.58000000000004"/>
    <n v="3001.28"/>
    <x v="0"/>
    <x v="0"/>
    <m/>
    <m/>
    <n v="0"/>
    <m/>
    <m/>
    <s v="'"/>
    <n v="41135.94"/>
  </r>
  <r>
    <x v="0"/>
    <s v="0009484"/>
    <s v="2"/>
    <s v="NFS"/>
    <s v="35898"/>
    <x v="8"/>
    <x v="0"/>
    <s v="510601"/>
    <x v="5"/>
    <s v="347265"/>
    <s v="'79941506000155"/>
    <s v="JARAGUA DO SUL"/>
    <x v="3"/>
    <x v="1"/>
    <s v="Uso autorizado"/>
    <s v="'42250206013812000581550020000094841017077096"/>
    <s v="Normal"/>
    <n v="9186.01"/>
    <n v="9186.01"/>
    <n v="0"/>
    <n v="0"/>
    <n v="0"/>
    <n v="367.44"/>
    <n v="0"/>
    <n v="0"/>
    <n v="0"/>
    <n v="9186.01"/>
    <n v="0"/>
    <n v="8818.57"/>
    <n v="145.51"/>
    <n v="670.21"/>
    <x v="0"/>
    <x v="0"/>
    <m/>
    <m/>
    <n v="0"/>
    <m/>
    <m/>
    <s v="'"/>
    <n v="9186.01"/>
  </r>
  <r>
    <x v="0"/>
    <s v="0009485"/>
    <s v="2"/>
    <s v="NFS"/>
    <s v="38222"/>
    <x v="9"/>
    <x v="0"/>
    <s v="610611"/>
    <x v="0"/>
    <s v="344889"/>
    <s v="'21037801000282"/>
    <s v="SOCORRO"/>
    <x v="0"/>
    <x v="1"/>
    <s v="Uso autorizado"/>
    <s v="'42250206013812000581550020000094851271126475"/>
    <s v="Normal"/>
    <n v="83.24"/>
    <n v="40.08"/>
    <n v="0"/>
    <n v="0"/>
    <n v="43.16"/>
    <n v="3.33"/>
    <n v="0"/>
    <n v="0"/>
    <n v="0"/>
    <n v="40.08"/>
    <n v="0"/>
    <n v="79.91"/>
    <n v="1.32"/>
    <n v="6.07"/>
    <x v="0"/>
    <x v="0"/>
    <m/>
    <m/>
    <n v="0"/>
    <m/>
    <m/>
    <s v="'"/>
    <n v="83.24"/>
  </r>
  <r>
    <x v="0"/>
    <s v="0009486"/>
    <s v="2"/>
    <s v="NFS"/>
    <s v="10522"/>
    <x v="10"/>
    <x v="0"/>
    <s v="610611"/>
    <x v="0"/>
    <s v="345008"/>
    <s v="'73197469000217"/>
    <s v="AMERICANA"/>
    <x v="0"/>
    <x v="1"/>
    <s v="Uso autorizado"/>
    <s v="'42250206013812000581550020000094861153706940"/>
    <s v="Normal"/>
    <n v="68.11"/>
    <n v="40.08"/>
    <n v="0"/>
    <n v="0"/>
    <n v="28.03"/>
    <n v="2.72"/>
    <n v="0"/>
    <n v="0"/>
    <n v="0"/>
    <n v="40.08"/>
    <n v="0"/>
    <n v="65.39"/>
    <n v="1.08"/>
    <n v="4.97"/>
    <x v="0"/>
    <x v="0"/>
    <m/>
    <m/>
    <n v="0"/>
    <m/>
    <m/>
    <s v="'"/>
    <n v="68.11"/>
  </r>
  <r>
    <x v="0"/>
    <s v="0009487"/>
    <s v="2"/>
    <s v="NFS"/>
    <s v="38284"/>
    <x v="11"/>
    <x v="0"/>
    <s v="59207i"/>
    <x v="6"/>
    <m/>
    <s v="'08248539000842"/>
    <s v="ITAJAI"/>
    <x v="3"/>
    <x v="1"/>
    <s v="Uso autorizado"/>
    <s v="'42250206013812000581550020000094871974084789"/>
    <s v="Normal"/>
    <n v="650.30999999999995"/>
    <n v="650.30999999999995"/>
    <n v="0"/>
    <n v="0"/>
    <n v="0"/>
    <n v="0"/>
    <n v="650.30999999999995"/>
    <n v="0"/>
    <n v="0"/>
    <n v="650.30999999999995"/>
    <n v="0"/>
    <n v="650.30999999999995"/>
    <n v="10.74"/>
    <n v="49.42"/>
    <x v="0"/>
    <x v="1"/>
    <m/>
    <m/>
    <n v="0"/>
    <m/>
    <m/>
    <s v="'"/>
    <n v="0"/>
  </r>
  <r>
    <x v="0"/>
    <s v="0009488"/>
    <s v="2"/>
    <s v="NFS"/>
    <s v="23631"/>
    <x v="12"/>
    <x v="0"/>
    <s v="69929m"/>
    <x v="7"/>
    <s v="346493"/>
    <s v="'52911906000161"/>
    <s v="SAO PAULO"/>
    <x v="0"/>
    <x v="1"/>
    <s v="Uso autorizado"/>
    <s v="'42250206013812000581550020000094881172624452"/>
    <s v="Normal"/>
    <n v="20"/>
    <n v="20"/>
    <n v="0"/>
    <n v="0"/>
    <n v="0"/>
    <n v="0.8"/>
    <n v="0"/>
    <n v="0"/>
    <n v="0"/>
    <n v="0"/>
    <n v="0"/>
    <n v="19.2"/>
    <n v="0.32"/>
    <n v="1.46"/>
    <x v="0"/>
    <x v="1"/>
    <m/>
    <m/>
    <n v="0"/>
    <m/>
    <m/>
    <s v="'"/>
    <n v="20"/>
  </r>
  <r>
    <x v="0"/>
    <s v="0009489"/>
    <s v="2"/>
    <s v="NFT"/>
    <s v="33240"/>
    <x v="13"/>
    <x v="0"/>
    <s v="62207"/>
    <x v="8"/>
    <s v="347341"/>
    <s v="'06013812000239"/>
    <s v="BELO HORIZONTE"/>
    <x v="4"/>
    <x v="1"/>
    <s v="Uso autorizado"/>
    <s v="'42250206013812000581550020000094891548222980"/>
    <s v="Normal"/>
    <n v="85.02"/>
    <n v="85.02"/>
    <n v="0"/>
    <n v="0"/>
    <n v="0"/>
    <n v="3.4"/>
    <n v="0"/>
    <n v="0"/>
    <n v="0"/>
    <n v="85.02"/>
    <n v="0"/>
    <n v="81.62"/>
    <n v="1.35"/>
    <n v="6.2"/>
    <x v="0"/>
    <x v="1"/>
    <m/>
    <m/>
    <n v="0"/>
    <m/>
    <m/>
    <s v="'"/>
    <n v="85.02"/>
  </r>
  <r>
    <x v="0"/>
    <s v="0009490"/>
    <s v="2"/>
    <s v="NFS"/>
    <s v="25353"/>
    <x v="14"/>
    <x v="0"/>
    <s v="510605"/>
    <x v="5"/>
    <s v="347203"/>
    <s v="'05776804000109"/>
    <s v="JOINVILLE"/>
    <x v="3"/>
    <x v="1"/>
    <s v="Uso autorizado"/>
    <s v="'42250206013812000581550020000094901226302375"/>
    <s v="Normal"/>
    <n v="54.79"/>
    <n v="44.37"/>
    <n v="0"/>
    <n v="0"/>
    <n v="10.42"/>
    <n v="2.19"/>
    <n v="0"/>
    <n v="0"/>
    <n v="0"/>
    <n v="54.79"/>
    <n v="0"/>
    <n v="52.6"/>
    <n v="0.87"/>
    <n v="4"/>
    <x v="0"/>
    <x v="0"/>
    <m/>
    <m/>
    <n v="0"/>
    <m/>
    <m/>
    <s v="'"/>
    <n v="54.79"/>
  </r>
  <r>
    <x v="0"/>
    <s v="0009491"/>
    <s v="2"/>
    <s v="NFS"/>
    <s v="36803"/>
    <x v="15"/>
    <x v="0"/>
    <s v="69929m"/>
    <x v="7"/>
    <s v="345988"/>
    <s v="'21659326000448"/>
    <s v="SAO PAULO"/>
    <x v="0"/>
    <x v="1"/>
    <s v="Uso autorizado"/>
    <s v="'42250206013812000581550020000094911576107609"/>
    <s v="Normal"/>
    <n v="10"/>
    <n v="10"/>
    <n v="0"/>
    <n v="0"/>
    <n v="0"/>
    <n v="0.4"/>
    <n v="0"/>
    <n v="0"/>
    <n v="0"/>
    <n v="0"/>
    <n v="0"/>
    <n v="9.6"/>
    <n v="0.16"/>
    <n v="0.73"/>
    <x v="0"/>
    <x v="1"/>
    <m/>
    <m/>
    <n v="0"/>
    <m/>
    <m/>
    <s v="'"/>
    <n v="10"/>
  </r>
  <r>
    <x v="0"/>
    <s v="0009492"/>
    <s v="2"/>
    <s v="NFS"/>
    <s v="23371"/>
    <x v="16"/>
    <x v="0"/>
    <s v="69929m"/>
    <x v="7"/>
    <s v="347053"/>
    <s v="'02536490000170"/>
    <s v="SAO PAULO"/>
    <x v="0"/>
    <x v="1"/>
    <s v="Uso autorizado"/>
    <s v="'42250206013812000581550020000094921965807846"/>
    <s v="Normal"/>
    <n v="25"/>
    <n v="25"/>
    <n v="0"/>
    <n v="0"/>
    <n v="0"/>
    <n v="1"/>
    <n v="0"/>
    <n v="0"/>
    <n v="0"/>
    <n v="0"/>
    <n v="0"/>
    <n v="24"/>
    <n v="0.4"/>
    <n v="1.82"/>
    <x v="0"/>
    <x v="1"/>
    <m/>
    <m/>
    <n v="0"/>
    <m/>
    <m/>
    <s v="'"/>
    <n v="25"/>
  </r>
  <r>
    <x v="0"/>
    <s v="0009493"/>
    <s v="2"/>
    <s v="NFS"/>
    <s v="36104"/>
    <x v="17"/>
    <x v="1"/>
    <s v="610611"/>
    <x v="0"/>
    <s v="347186"/>
    <s v="'00609515000193"/>
    <s v="MARUMBI"/>
    <x v="5"/>
    <x v="1"/>
    <s v="Uso autorizado"/>
    <s v="'42250206013812000581550020000094931568865928"/>
    <s v="Normal"/>
    <n v="82.04"/>
    <n v="63.75"/>
    <n v="0"/>
    <n v="0"/>
    <n v="18.29"/>
    <n v="3.28"/>
    <n v="0"/>
    <n v="0"/>
    <n v="0"/>
    <n v="63.75"/>
    <n v="0"/>
    <n v="78.760000000000005"/>
    <n v="1.3"/>
    <n v="5.99"/>
    <x v="0"/>
    <x v="0"/>
    <m/>
    <m/>
    <n v="0"/>
    <m/>
    <m/>
    <s v="'"/>
    <n v="82.04"/>
  </r>
  <r>
    <x v="0"/>
    <s v="0009494"/>
    <s v="2"/>
    <s v="NFT"/>
    <s v="33240"/>
    <x v="13"/>
    <x v="1"/>
    <s v="62207"/>
    <x v="8"/>
    <s v="347348"/>
    <s v="'06013812000239"/>
    <s v="BELO HORIZONTE"/>
    <x v="4"/>
    <x v="1"/>
    <s v="Uso autorizado"/>
    <s v="'42250206013812000581550020000094941270143995"/>
    <s v="Normal"/>
    <n v="283.39"/>
    <n v="283.39"/>
    <n v="0"/>
    <n v="0"/>
    <n v="0"/>
    <n v="11.34"/>
    <n v="0"/>
    <n v="0"/>
    <n v="0"/>
    <n v="283.39"/>
    <n v="0"/>
    <n v="272.05"/>
    <n v="4.49"/>
    <n v="20.68"/>
    <x v="0"/>
    <x v="1"/>
    <m/>
    <m/>
    <n v="0"/>
    <m/>
    <m/>
    <s v="'"/>
    <n v="283.39"/>
  </r>
  <r>
    <x v="0"/>
    <s v="0009495"/>
    <s v="2"/>
    <s v="NFS"/>
    <s v="37608"/>
    <x v="18"/>
    <x v="1"/>
    <s v="610611"/>
    <x v="0"/>
    <s v="347170"/>
    <s v="'46469638000177"/>
    <s v="SAO JOSE DO RIO PRETO"/>
    <x v="0"/>
    <x v="1"/>
    <s v="Uso autorizado"/>
    <s v="'42250206013812000581550020000094951911994194"/>
    <s v="Normal"/>
    <n v="9157.75"/>
    <n v="9157.75"/>
    <n v="0"/>
    <n v="0"/>
    <n v="0"/>
    <n v="366.31"/>
    <n v="0"/>
    <n v="0"/>
    <n v="0"/>
    <n v="9157.75"/>
    <n v="0"/>
    <n v="8791.44"/>
    <n v="145.06"/>
    <n v="668.15"/>
    <x v="0"/>
    <x v="0"/>
    <m/>
    <m/>
    <n v="0"/>
    <m/>
    <m/>
    <s v="'"/>
    <n v="9157.75"/>
  </r>
  <r>
    <x v="0"/>
    <s v="0009496"/>
    <s v="2"/>
    <s v="NFS"/>
    <s v="40348"/>
    <x v="19"/>
    <x v="1"/>
    <s v="510605"/>
    <x v="5"/>
    <s v="346912"/>
    <s v="'05951356000639"/>
    <s v="BLUMENAU"/>
    <x v="3"/>
    <x v="1"/>
    <s v="Uso autorizado"/>
    <s v="'42250206013812000581550020000094961244687805"/>
    <s v="Normal"/>
    <n v="32623.26"/>
    <n v="32623.26"/>
    <n v="0"/>
    <n v="0"/>
    <n v="0"/>
    <n v="1304.93"/>
    <n v="0"/>
    <n v="0"/>
    <n v="0"/>
    <n v="32623.26"/>
    <n v="0"/>
    <n v="31318.33"/>
    <n v="516.74"/>
    <n v="2380.19"/>
    <x v="0"/>
    <x v="0"/>
    <m/>
    <m/>
    <n v="0"/>
    <m/>
    <m/>
    <s v="'"/>
    <n v="32623.26"/>
  </r>
  <r>
    <x v="0"/>
    <s v="0009497"/>
    <s v="2"/>
    <s v="NFS"/>
    <s v="12082"/>
    <x v="20"/>
    <x v="1"/>
    <s v="610611"/>
    <x v="0"/>
    <s v="347063"/>
    <s v="'71975635000152"/>
    <s v="AMERICANA"/>
    <x v="0"/>
    <x v="1"/>
    <s v="Uso autorizado"/>
    <s v="'42250206013812000581550020000094971508971380"/>
    <s v="Normal"/>
    <n v="14406.74"/>
    <n v="14406.74"/>
    <n v="0"/>
    <n v="0"/>
    <n v="0"/>
    <n v="576.27"/>
    <n v="0"/>
    <n v="0"/>
    <n v="0"/>
    <n v="14406.74"/>
    <n v="0"/>
    <n v="13830.47"/>
    <n v="228.21"/>
    <n v="1051.1199999999999"/>
    <x v="0"/>
    <x v="0"/>
    <m/>
    <m/>
    <n v="0"/>
    <m/>
    <m/>
    <s v="'"/>
    <n v="14406.74"/>
  </r>
  <r>
    <x v="0"/>
    <s v="0009498"/>
    <s v="2"/>
    <s v="NFS"/>
    <s v="40058"/>
    <x v="21"/>
    <x v="1"/>
    <s v="610611"/>
    <x v="0"/>
    <s v="347274"/>
    <s v="'52359811000187"/>
    <s v="SAO PAULO"/>
    <x v="0"/>
    <x v="1"/>
    <s v="Uso autorizado"/>
    <s v="'42250206013812000581550020000094981184990420"/>
    <s v="Normal"/>
    <n v="11629.35"/>
    <n v="11629.35"/>
    <n v="0"/>
    <n v="0"/>
    <n v="0"/>
    <n v="465.17"/>
    <n v="0"/>
    <n v="0"/>
    <n v="0"/>
    <n v="11629.35"/>
    <n v="0"/>
    <n v="11164.18"/>
    <n v="184.22"/>
    <n v="848.48"/>
    <x v="0"/>
    <x v="0"/>
    <m/>
    <m/>
    <n v="0"/>
    <m/>
    <m/>
    <s v="'"/>
    <n v="11629.35"/>
  </r>
  <r>
    <x v="0"/>
    <s v="0009499"/>
    <s v="2"/>
    <s v="NFS"/>
    <s v="11904"/>
    <x v="22"/>
    <x v="1"/>
    <s v="610611"/>
    <x v="0"/>
    <s v="344085"/>
    <s v="'64212913000154"/>
    <s v="ANDRADAS"/>
    <x v="4"/>
    <x v="1"/>
    <s v="Uso autorizado"/>
    <s v="'42250206013812000581550020000094991353364723"/>
    <s v="Normal"/>
    <n v="3709.68"/>
    <n v="3709.68"/>
    <n v="0"/>
    <n v="0"/>
    <n v="0"/>
    <n v="148.38999999999999"/>
    <n v="0"/>
    <n v="0"/>
    <n v="0"/>
    <n v="3709.68"/>
    <n v="0"/>
    <n v="3561.29"/>
    <n v="58.76"/>
    <n v="270.66000000000003"/>
    <x v="0"/>
    <x v="0"/>
    <m/>
    <m/>
    <n v="0"/>
    <m/>
    <m/>
    <s v="'"/>
    <n v="3709.68"/>
  </r>
  <r>
    <x v="0"/>
    <s v="0009500"/>
    <s v="2"/>
    <s v="NFS"/>
    <s v="30914"/>
    <x v="23"/>
    <x v="1"/>
    <s v="510603"/>
    <x v="5"/>
    <s v="346167"/>
    <s v="'10930836000149"/>
    <s v="ARARANGUA"/>
    <x v="3"/>
    <x v="1"/>
    <s v="Uso autorizado"/>
    <s v="'42250206013812000581550020000095001869619507"/>
    <s v="Normal"/>
    <n v="84.26"/>
    <n v="62.1"/>
    <n v="0"/>
    <n v="0"/>
    <n v="22.16"/>
    <n v="10.11"/>
    <n v="0"/>
    <n v="0"/>
    <n v="0"/>
    <n v="84.26"/>
    <n v="0"/>
    <n v="74.150000000000006"/>
    <n v="1.22"/>
    <n v="5.64"/>
    <x v="0"/>
    <x v="0"/>
    <m/>
    <m/>
    <n v="0"/>
    <m/>
    <m/>
    <s v="'"/>
    <n v="84.26"/>
  </r>
  <r>
    <x v="0"/>
    <s v="0009501"/>
    <s v="2"/>
    <s v="NFS"/>
    <s v="34575"/>
    <x v="24"/>
    <x v="1"/>
    <s v="69929m"/>
    <x v="7"/>
    <s v="347218"/>
    <s v="'02732234000663"/>
    <s v="GUARULHOS"/>
    <x v="0"/>
    <x v="1"/>
    <s v="Uso autorizado"/>
    <s v="'42250206013812000581550020000095011249057011"/>
    <s v="Normal"/>
    <n v="30"/>
    <n v="30"/>
    <n v="0"/>
    <n v="0"/>
    <n v="0"/>
    <n v="1.2"/>
    <n v="0"/>
    <n v="0"/>
    <n v="0"/>
    <n v="0"/>
    <n v="0"/>
    <n v="28.8"/>
    <n v="0.48"/>
    <n v="2.1800000000000002"/>
    <x v="0"/>
    <x v="1"/>
    <m/>
    <m/>
    <n v="0"/>
    <m/>
    <m/>
    <s v="'"/>
    <n v="30"/>
  </r>
  <r>
    <x v="0"/>
    <s v="0009502"/>
    <s v="2"/>
    <s v="NFS"/>
    <s v="40432"/>
    <x v="1"/>
    <x v="1"/>
    <s v="610610"/>
    <x v="0"/>
    <s v="346148"/>
    <s v="'42067774000180"/>
    <s v="SANTA CRUZ DO CAPIBARIBE"/>
    <x v="1"/>
    <x v="1"/>
    <s v="Uso autorizado"/>
    <s v="'42250206013812000581550020000095021544404506"/>
    <s v="Normal"/>
    <n v="6496.42"/>
    <n v="6372.94"/>
    <n v="0"/>
    <n v="0"/>
    <n v="123.48"/>
    <n v="259.86"/>
    <n v="0"/>
    <n v="0"/>
    <n v="0"/>
    <n v="6496.42"/>
    <n v="0"/>
    <n v="6236.56"/>
    <n v="102.9"/>
    <n v="473.97"/>
    <x v="0"/>
    <x v="0"/>
    <m/>
    <m/>
    <n v="0"/>
    <m/>
    <m/>
    <s v="'"/>
    <n v="6496.42"/>
  </r>
  <r>
    <x v="0"/>
    <s v="0009503"/>
    <s v="2"/>
    <s v="NFS"/>
    <s v="40432"/>
    <x v="1"/>
    <x v="1"/>
    <s v="610610"/>
    <x v="0"/>
    <s v="347133"/>
    <s v="'42067774000180"/>
    <s v="SANTA CRUZ DO CAPIBARIBE"/>
    <x v="1"/>
    <x v="1"/>
    <s v="Uso autorizado"/>
    <s v="'42250206013812000581550020000095031850163151"/>
    <s v="Normal"/>
    <n v="2027.41"/>
    <n v="1987.66"/>
    <n v="0"/>
    <n v="0"/>
    <n v="39.75"/>
    <n v="81.099999999999994"/>
    <n v="0"/>
    <n v="0"/>
    <n v="0"/>
    <n v="2027.41"/>
    <n v="0"/>
    <n v="1946.31"/>
    <n v="32.11"/>
    <n v="147.91999999999999"/>
    <x v="0"/>
    <x v="0"/>
    <m/>
    <m/>
    <n v="0"/>
    <m/>
    <m/>
    <s v="'"/>
    <n v="2027.41"/>
  </r>
  <r>
    <x v="0"/>
    <s v="0009504"/>
    <s v="2"/>
    <s v="NFS"/>
    <s v="6761"/>
    <x v="25"/>
    <x v="1"/>
    <s v="610610"/>
    <x v="0"/>
    <s v="347330"/>
    <s v="'39636410000169"/>
    <s v="VILA VELHA"/>
    <x v="6"/>
    <x v="1"/>
    <s v="Uso autorizado"/>
    <s v="'42250206013812000581550020000095041573145259"/>
    <s v="Normal"/>
    <n v="3997.28"/>
    <n v="3997.28"/>
    <n v="0"/>
    <n v="0"/>
    <n v="0"/>
    <n v="159.88999999999999"/>
    <n v="0"/>
    <n v="0"/>
    <n v="0"/>
    <n v="3997.28"/>
    <n v="0"/>
    <n v="3837.39"/>
    <n v="63.33"/>
    <n v="291.64999999999998"/>
    <x v="0"/>
    <x v="0"/>
    <m/>
    <m/>
    <n v="0"/>
    <m/>
    <m/>
    <s v="'"/>
    <n v="3997.28"/>
  </r>
  <r>
    <x v="0"/>
    <s v="0009505"/>
    <s v="2"/>
    <s v="NFS"/>
    <s v="37698"/>
    <x v="26"/>
    <x v="1"/>
    <s v="510604"/>
    <x v="5"/>
    <s v="347210"/>
    <s v="'09194643000198"/>
    <s v="BRUSQUE"/>
    <x v="3"/>
    <x v="1"/>
    <s v="Uso autorizado"/>
    <s v="'42250206013812000581550020000095051763361111"/>
    <s v="Normal"/>
    <n v="1549.4"/>
    <n v="1492.4"/>
    <n v="0"/>
    <n v="0"/>
    <n v="57"/>
    <n v="61.98"/>
    <n v="0"/>
    <n v="0"/>
    <n v="0"/>
    <n v="1549.4"/>
    <n v="0"/>
    <n v="1487.42"/>
    <n v="24.54"/>
    <n v="113.04"/>
    <x v="0"/>
    <x v="0"/>
    <m/>
    <m/>
    <n v="0"/>
    <m/>
    <m/>
    <s v="'"/>
    <n v="1549.4"/>
  </r>
  <r>
    <x v="0"/>
    <s v="0009506"/>
    <s v="2"/>
    <s v="NFS"/>
    <s v="36104"/>
    <x v="17"/>
    <x v="1"/>
    <s v="610611"/>
    <x v="0"/>
    <s v="347177"/>
    <s v="'00609515000193"/>
    <s v="MARUMBI"/>
    <x v="5"/>
    <x v="1"/>
    <s v="Uso autorizado"/>
    <s v="'42250206013812000581550020000095061333656857"/>
    <s v="Normal"/>
    <n v="95.19"/>
    <n v="76.900000000000006"/>
    <n v="0"/>
    <n v="0"/>
    <n v="18.29"/>
    <n v="3.81"/>
    <n v="0"/>
    <n v="0"/>
    <n v="0"/>
    <n v="76.900000000000006"/>
    <n v="0"/>
    <n v="91.38"/>
    <n v="1.51"/>
    <n v="6.94"/>
    <x v="0"/>
    <x v="0"/>
    <m/>
    <m/>
    <n v="0"/>
    <m/>
    <m/>
    <s v="'"/>
    <n v="95.19"/>
  </r>
  <r>
    <x v="0"/>
    <s v="0009507"/>
    <s v="2"/>
    <s v="NFS"/>
    <s v="30281"/>
    <x v="27"/>
    <x v="1"/>
    <s v="510605"/>
    <x v="5"/>
    <s v="347383"/>
    <s v="'09326084000122"/>
    <s v="ITAJAI"/>
    <x v="3"/>
    <x v="1"/>
    <s v="Uso autorizado"/>
    <s v="'42250206013812000581550020000095071890064013"/>
    <s v="Normal"/>
    <n v="3267.6"/>
    <n v="3267.6"/>
    <n v="0"/>
    <n v="0"/>
    <n v="0"/>
    <n v="130.69999999999999"/>
    <n v="0"/>
    <n v="0"/>
    <n v="0"/>
    <n v="3267.6"/>
    <n v="0"/>
    <n v="3136.9"/>
    <n v="51.76"/>
    <n v="238.4"/>
    <x v="0"/>
    <x v="0"/>
    <m/>
    <m/>
    <n v="0"/>
    <m/>
    <m/>
    <s v="'"/>
    <n v="3267.6"/>
  </r>
  <r>
    <x v="0"/>
    <s v="0009508"/>
    <s v="2"/>
    <s v="NFS"/>
    <s v="21934"/>
    <x v="28"/>
    <x v="1"/>
    <s v="612303"/>
    <x v="3"/>
    <s v="347127"/>
    <s v="'53398301000181"/>
    <s v="SAO PAULO"/>
    <x v="0"/>
    <x v="1"/>
    <s v="Uso autorizado"/>
    <s v="'42250206013812000581550020000095081084993981"/>
    <s v="Normal"/>
    <n v="145.11000000000001"/>
    <n v="145.11000000000001"/>
    <n v="0"/>
    <n v="0"/>
    <n v="0"/>
    <n v="5.8"/>
    <n v="0"/>
    <n v="0"/>
    <n v="0"/>
    <n v="145.11000000000001"/>
    <n v="0"/>
    <n v="139.31"/>
    <n v="2.2999999999999998"/>
    <n v="10.59"/>
    <x v="0"/>
    <x v="0"/>
    <n v="9509"/>
    <n v="2"/>
    <n v="21934"/>
    <s v="CONF ESMERAL LTDA"/>
    <d v="2025-02-04T00:00:00"/>
    <s v="'42250206013812000581550020000095091496123710"/>
    <n v="145.11000000000001"/>
  </r>
  <r>
    <x v="0"/>
    <s v="0009509"/>
    <s v="2"/>
    <s v="NFS"/>
    <s v="32872"/>
    <x v="29"/>
    <x v="1"/>
    <s v="612304"/>
    <x v="4"/>
    <m/>
    <s v="'24292349000102"/>
    <s v="SAO PAULO"/>
    <x v="0"/>
    <x v="1"/>
    <s v="Uso autorizado"/>
    <s v="'42250206013812000581550020000095091496123710"/>
    <s v="Normal"/>
    <n v="145.11000000000001"/>
    <n v="145.11000000000001"/>
    <n v="0"/>
    <n v="0"/>
    <n v="0"/>
    <n v="0"/>
    <n v="145.11000000000001"/>
    <n v="0"/>
    <n v="0"/>
    <n v="145.11000000000001"/>
    <n v="0"/>
    <n v="0"/>
    <n v="0"/>
    <n v="0"/>
    <x v="0"/>
    <x v="1"/>
    <n v="9508"/>
    <n v="2"/>
    <n v="32872"/>
    <s v="RKS MODAS LTDA"/>
    <d v="2025-02-04T00:00:00"/>
    <s v="'42250206013812000581550020000095081084993981"/>
    <n v="0"/>
  </r>
  <r>
    <x v="0"/>
    <s v="0009510"/>
    <s v="2"/>
    <s v="NFS"/>
    <s v="34440"/>
    <x v="30"/>
    <x v="1"/>
    <s v="612303"/>
    <x v="3"/>
    <s v="347287"/>
    <s v="'33524528000119"/>
    <s v="MARINGA"/>
    <x v="5"/>
    <x v="1"/>
    <s v="Uso autorizado"/>
    <s v="'42250206013812000581550020000095101743302551"/>
    <s v="Normal"/>
    <n v="14403.37"/>
    <n v="13950"/>
    <n v="0"/>
    <n v="0"/>
    <n v="0"/>
    <n v="558"/>
    <n v="0"/>
    <n v="0"/>
    <n v="453.37"/>
    <n v="0"/>
    <n v="0"/>
    <n v="13392"/>
    <n v="220.97"/>
    <n v="1017.8"/>
    <x v="0"/>
    <x v="0"/>
    <n v="9511"/>
    <n v="2"/>
    <n v="34440"/>
    <s v="HURNA COMERCIO DE CONFECCOES LTDA"/>
    <d v="2025-02-04T00:00:00"/>
    <s v="'42250206013812000581550020000095111961294477"/>
    <n v="13950"/>
  </r>
  <r>
    <x v="0"/>
    <s v="0009511"/>
    <s v="2"/>
    <s v="NFS"/>
    <s v="24815"/>
    <x v="31"/>
    <x v="1"/>
    <s v="612304"/>
    <x v="4"/>
    <m/>
    <s v="'11258879000192"/>
    <s v="SAO JOSE DO RIO PRETO"/>
    <x v="0"/>
    <x v="1"/>
    <s v="Uso autorizado"/>
    <s v="'42250206013812000581550020000095111961294477"/>
    <s v="Normal"/>
    <n v="13950"/>
    <n v="13950"/>
    <n v="0"/>
    <n v="0"/>
    <n v="0"/>
    <n v="0"/>
    <n v="13950"/>
    <n v="0"/>
    <n v="0"/>
    <n v="13950"/>
    <n v="0"/>
    <n v="0"/>
    <n v="0"/>
    <n v="0"/>
    <x v="0"/>
    <x v="1"/>
    <n v="9510"/>
    <n v="2"/>
    <n v="24815"/>
    <s v="COOL HIT IND E COM DE CONF LTDA"/>
    <d v="2025-02-04T00:00:00"/>
    <s v="'42250206013812000581550020000095101743302551"/>
    <n v="0"/>
  </r>
  <r>
    <x v="0"/>
    <s v="0009512"/>
    <s v="2"/>
    <s v="NFS"/>
    <s v="40291"/>
    <x v="32"/>
    <x v="1"/>
    <s v="612305"/>
    <x v="1"/>
    <s v="347294"/>
    <s v="'57519718000106"/>
    <s v="FARROUPILHA"/>
    <x v="7"/>
    <x v="1"/>
    <s v="Uso autorizado"/>
    <s v="'42250206013812000581550020000095121610956393"/>
    <s v="Normal"/>
    <n v="2017.4"/>
    <n v="2017.4"/>
    <n v="0"/>
    <n v="0"/>
    <n v="0"/>
    <n v="80.7"/>
    <n v="0"/>
    <n v="0"/>
    <n v="0"/>
    <n v="2017.4"/>
    <n v="0"/>
    <n v="1936.7"/>
    <n v="31.95"/>
    <n v="147.18"/>
    <x v="0"/>
    <x v="0"/>
    <n v="9513"/>
    <n v="2"/>
    <n v="40291"/>
    <s v="SOZO COMERCIO E CONFECCOES LTDA"/>
    <d v="2025-02-04T00:00:00"/>
    <s v="'42250206013812000581550020000095131223196988"/>
    <n v="2017.4"/>
  </r>
  <r>
    <x v="0"/>
    <s v="0009513"/>
    <s v="2"/>
    <s v="NFS"/>
    <s v="39900"/>
    <x v="33"/>
    <x v="1"/>
    <s v="612302"/>
    <x v="2"/>
    <m/>
    <s v="'34424573000164"/>
    <s v="FARROUPILHA"/>
    <x v="7"/>
    <x v="1"/>
    <s v="Uso autorizado"/>
    <s v="'42250206013812000581550020000095131223196988"/>
    <s v="Normal"/>
    <n v="2017.4"/>
    <n v="2017.4"/>
    <n v="0"/>
    <n v="0"/>
    <n v="0"/>
    <n v="0"/>
    <n v="0"/>
    <n v="2017.4"/>
    <n v="0"/>
    <n v="2017.4"/>
    <n v="0"/>
    <n v="0"/>
    <n v="0"/>
    <n v="0"/>
    <x v="0"/>
    <x v="1"/>
    <n v="9512"/>
    <n v="2"/>
    <n v="39900"/>
    <s v="LIELL CONFECCOES LTDA"/>
    <d v="2025-02-04T00:00:00"/>
    <s v="'42250206013812000581550020000095121610956393"/>
    <n v="0"/>
  </r>
  <r>
    <x v="0"/>
    <s v="0009514"/>
    <s v="2"/>
    <s v="NFS"/>
    <s v="1492"/>
    <x v="34"/>
    <x v="1"/>
    <s v="610610"/>
    <x v="0"/>
    <s v="347347"/>
    <s v="'34360594000163"/>
    <s v="SALVADOR"/>
    <x v="8"/>
    <x v="1"/>
    <s v="Uso autorizado"/>
    <s v="'42250206013812000581550020000095141623330085"/>
    <s v="Normal"/>
    <n v="3483.36"/>
    <n v="3417.76"/>
    <n v="0"/>
    <n v="0"/>
    <n v="65.599999999999994"/>
    <n v="139.33000000000001"/>
    <n v="0"/>
    <n v="0"/>
    <n v="0"/>
    <n v="3483.36"/>
    <n v="0"/>
    <n v="3344.03"/>
    <n v="55.18"/>
    <n v="254.15"/>
    <x v="0"/>
    <x v="0"/>
    <m/>
    <m/>
    <n v="0"/>
    <m/>
    <m/>
    <s v="'"/>
    <n v="3483.36"/>
  </r>
  <r>
    <x v="0"/>
    <s v="0009515"/>
    <s v="2"/>
    <s v="NFS"/>
    <s v="35454"/>
    <x v="35"/>
    <x v="1"/>
    <s v="610611"/>
    <x v="0"/>
    <s v="347176"/>
    <s v="'80199037000120"/>
    <s v="MARINGA"/>
    <x v="5"/>
    <x v="1"/>
    <s v="Uso autorizado"/>
    <s v="'42250206013812000581550020000095151774960875"/>
    <s v="Normal"/>
    <n v="98.77"/>
    <n v="77.19"/>
    <n v="0"/>
    <n v="0"/>
    <n v="21.58"/>
    <n v="3.95"/>
    <n v="0"/>
    <n v="0"/>
    <n v="0"/>
    <n v="77.19"/>
    <n v="0"/>
    <n v="94.82"/>
    <n v="1.56"/>
    <n v="7.21"/>
    <x v="0"/>
    <x v="0"/>
    <m/>
    <m/>
    <n v="0"/>
    <m/>
    <m/>
    <s v="'"/>
    <n v="98.77"/>
  </r>
  <r>
    <x v="0"/>
    <s v="0009516"/>
    <s v="2"/>
    <s v="NFS"/>
    <s v="38203"/>
    <x v="36"/>
    <x v="1"/>
    <s v="69929m"/>
    <x v="7"/>
    <s v="346766"/>
    <s v="'49346104000141"/>
    <s v="SAO PAULO"/>
    <x v="0"/>
    <x v="1"/>
    <s v="Uso autorizado"/>
    <s v="'42250206013812000581550020000095161234409394"/>
    <s v="Normal"/>
    <n v="8.4"/>
    <n v="8.4"/>
    <n v="0"/>
    <n v="0"/>
    <n v="0"/>
    <n v="0.34"/>
    <n v="0"/>
    <n v="0"/>
    <n v="0"/>
    <n v="0"/>
    <n v="0"/>
    <n v="8.06"/>
    <n v="0.13"/>
    <n v="0.61"/>
    <x v="0"/>
    <x v="1"/>
    <m/>
    <m/>
    <n v="0"/>
    <m/>
    <m/>
    <s v="'"/>
    <n v="8.4"/>
  </r>
  <r>
    <x v="0"/>
    <s v="0009517"/>
    <s v="2"/>
    <s v="NFS"/>
    <s v="22868"/>
    <x v="37"/>
    <x v="1"/>
    <s v="510603"/>
    <x v="5"/>
    <s v="347389"/>
    <s v="'03802622000121"/>
    <s v="ARARANGUA"/>
    <x v="3"/>
    <x v="1"/>
    <s v="Uso autorizado"/>
    <s v="'42250206013812000581550020000095171713306363"/>
    <s v="Normal"/>
    <n v="5391.1"/>
    <n v="5391.1"/>
    <n v="0"/>
    <n v="0"/>
    <n v="0"/>
    <n v="646.92999999999995"/>
    <n v="0"/>
    <n v="0"/>
    <n v="0"/>
    <n v="5391.1"/>
    <n v="0"/>
    <n v="4744.17"/>
    <n v="78.28"/>
    <n v="360.55"/>
    <x v="0"/>
    <x v="0"/>
    <m/>
    <m/>
    <n v="0"/>
    <m/>
    <m/>
    <s v="'"/>
    <n v="5391.1"/>
  </r>
  <r>
    <x v="0"/>
    <s v="0009518"/>
    <s v="2"/>
    <s v="NFS"/>
    <s v="30969"/>
    <x v="38"/>
    <x v="1"/>
    <s v="510603"/>
    <x v="5"/>
    <s v="347301"/>
    <s v="'11576994000105"/>
    <s v="BRUSQUE"/>
    <x v="3"/>
    <x v="1"/>
    <s v="Uso autorizado"/>
    <s v="'42250206013812000581550020000095181397308699"/>
    <s v="Normal"/>
    <n v="1383.5"/>
    <n v="1323.5"/>
    <n v="0"/>
    <n v="0"/>
    <n v="60"/>
    <n v="166.02"/>
    <n v="0"/>
    <n v="0"/>
    <n v="0"/>
    <n v="1383.5"/>
    <n v="0"/>
    <n v="1217.48"/>
    <n v="20.09"/>
    <n v="92.52"/>
    <x v="0"/>
    <x v="0"/>
    <m/>
    <m/>
    <n v="0"/>
    <m/>
    <m/>
    <s v="'"/>
    <n v="1383.5"/>
  </r>
  <r>
    <x v="0"/>
    <s v="0009519"/>
    <s v="2"/>
    <s v="NFS"/>
    <s v="36509"/>
    <x v="39"/>
    <x v="1"/>
    <s v="510603"/>
    <x v="5"/>
    <s v="346847"/>
    <s v="'19633469000196"/>
    <s v="CRICIUMA"/>
    <x v="3"/>
    <x v="1"/>
    <s v="Uso autorizado"/>
    <s v="'42250206013812000581550020000095191355239173"/>
    <s v="Normal"/>
    <n v="1272.3800000000001"/>
    <n v="1272.3800000000001"/>
    <n v="0"/>
    <n v="0"/>
    <n v="0"/>
    <n v="152.69"/>
    <n v="0"/>
    <n v="0"/>
    <n v="0"/>
    <n v="1272.3800000000001"/>
    <n v="0"/>
    <n v="1119.69"/>
    <n v="18.47"/>
    <n v="85.09"/>
    <x v="0"/>
    <x v="0"/>
    <m/>
    <m/>
    <n v="0"/>
    <m/>
    <m/>
    <s v="'"/>
    <n v="1272.3800000000001"/>
  </r>
  <r>
    <x v="0"/>
    <s v="0009520"/>
    <s v="2"/>
    <s v="NFS"/>
    <s v="37940"/>
    <x v="40"/>
    <x v="1"/>
    <s v="610610"/>
    <x v="0"/>
    <s v="347386"/>
    <s v="'44915010000122"/>
    <s v="IUNA"/>
    <x v="6"/>
    <x v="1"/>
    <s v="Uso autorizado"/>
    <s v="'42250206013812000581550020000095201807268967"/>
    <s v="Normal"/>
    <n v="10174.049999999999"/>
    <n v="10174.049999999999"/>
    <n v="0"/>
    <n v="0"/>
    <n v="0"/>
    <n v="406.96"/>
    <n v="0"/>
    <n v="0"/>
    <n v="0"/>
    <n v="10174.049999999999"/>
    <n v="0"/>
    <n v="9767.09"/>
    <n v="161.16"/>
    <n v="742.3"/>
    <x v="0"/>
    <x v="0"/>
    <m/>
    <m/>
    <n v="0"/>
    <m/>
    <m/>
    <s v="'"/>
    <n v="10174.049999999999"/>
  </r>
  <r>
    <x v="0"/>
    <s v="0009521"/>
    <s v="2"/>
    <s v="NFS"/>
    <s v="19602"/>
    <x v="41"/>
    <x v="1"/>
    <s v="610611"/>
    <x v="0"/>
    <s v="347295"/>
    <s v="'00941341000161"/>
    <s v="SAO PAULO"/>
    <x v="0"/>
    <x v="1"/>
    <s v="Uso autorizado"/>
    <s v="'42250206013812000581550020000095211787788461"/>
    <s v="Normal"/>
    <n v="482.75"/>
    <n v="482.75"/>
    <n v="0"/>
    <n v="0"/>
    <n v="0"/>
    <n v="19.309999999999999"/>
    <n v="0"/>
    <n v="0"/>
    <n v="0"/>
    <n v="482.75"/>
    <n v="0"/>
    <n v="463.44"/>
    <n v="7.65"/>
    <n v="35.22"/>
    <x v="0"/>
    <x v="0"/>
    <m/>
    <m/>
    <n v="0"/>
    <m/>
    <m/>
    <s v="'"/>
    <n v="482.75"/>
  </r>
  <r>
    <x v="0"/>
    <s v="0009522"/>
    <s v="2"/>
    <s v="NFS"/>
    <s v="37648"/>
    <x v="42"/>
    <x v="1"/>
    <s v="610611"/>
    <x v="0"/>
    <s v="347352"/>
    <s v="'14295468000165"/>
    <s v="SAO PAULO"/>
    <x v="0"/>
    <x v="1"/>
    <s v="Uso autorizado"/>
    <s v="'42250206013812000581550020000095221509456662"/>
    <s v="Normal"/>
    <n v="33.9"/>
    <n v="33.9"/>
    <n v="0"/>
    <n v="0"/>
    <n v="0"/>
    <n v="1.36"/>
    <n v="0"/>
    <n v="0"/>
    <n v="0"/>
    <n v="33.9"/>
    <n v="0"/>
    <n v="32.54"/>
    <n v="0.54"/>
    <n v="2.4700000000000002"/>
    <x v="0"/>
    <x v="0"/>
    <m/>
    <m/>
    <n v="0"/>
    <m/>
    <m/>
    <s v="'"/>
    <n v="33.9"/>
  </r>
  <r>
    <x v="0"/>
    <s v="0009523"/>
    <s v="2"/>
    <s v="NFS"/>
    <s v="38582"/>
    <x v="43"/>
    <x v="1"/>
    <s v="610611"/>
    <x v="0"/>
    <s v="347374"/>
    <s v="'50830526000177"/>
    <s v="CACAPAVA DO SUL"/>
    <x v="7"/>
    <x v="1"/>
    <s v="Uso autorizado"/>
    <s v="'42250206013812000581550020000095231965009239"/>
    <s v="Normal"/>
    <n v="7291.62"/>
    <n v="7291.62"/>
    <n v="0"/>
    <n v="0"/>
    <n v="0"/>
    <n v="291.66000000000003"/>
    <n v="0"/>
    <n v="0"/>
    <n v="0"/>
    <n v="7291.62"/>
    <n v="0"/>
    <n v="6999.96"/>
    <n v="115.49"/>
    <n v="531.98"/>
    <x v="0"/>
    <x v="0"/>
    <m/>
    <m/>
    <n v="0"/>
    <m/>
    <m/>
    <s v="'"/>
    <n v="7291.62"/>
  </r>
  <r>
    <x v="0"/>
    <s v="0009524"/>
    <s v="2"/>
    <s v="NFS"/>
    <s v="19589"/>
    <x v="44"/>
    <x v="2"/>
    <s v="610611"/>
    <x v="0"/>
    <s v="346532"/>
    <s v="'03069244000119"/>
    <s v="SAO PAULO"/>
    <x v="0"/>
    <x v="1"/>
    <s v="Uso autorizado"/>
    <s v="'42250206013812000581550020000095241630965372"/>
    <s v="Normal"/>
    <n v="47.89"/>
    <n v="47.89"/>
    <n v="0"/>
    <n v="0"/>
    <n v="0"/>
    <n v="1.92"/>
    <n v="0"/>
    <n v="0"/>
    <n v="0"/>
    <n v="47.89"/>
    <n v="0"/>
    <n v="45.97"/>
    <n v="0.76"/>
    <n v="3.49"/>
    <x v="0"/>
    <x v="0"/>
    <m/>
    <m/>
    <n v="0"/>
    <m/>
    <m/>
    <s v="'"/>
    <n v="47.89"/>
  </r>
  <r>
    <x v="0"/>
    <s v="0009525"/>
    <s v="2"/>
    <s v="NFS"/>
    <s v="38796"/>
    <x v="45"/>
    <x v="2"/>
    <s v="610611"/>
    <x v="0"/>
    <s v="347370"/>
    <s v="'00170192000184"/>
    <s v="CERQUILHO"/>
    <x v="0"/>
    <x v="1"/>
    <s v="Uso autorizado"/>
    <s v="'42250206013812000581550020000095251330282293"/>
    <s v="Normal"/>
    <n v="105.47"/>
    <n v="71.680000000000007"/>
    <n v="0"/>
    <n v="0"/>
    <n v="33.79"/>
    <n v="4.22"/>
    <n v="0"/>
    <n v="0"/>
    <n v="0"/>
    <n v="71.680000000000007"/>
    <n v="0"/>
    <n v="101.25"/>
    <n v="1.67"/>
    <n v="7.69"/>
    <x v="0"/>
    <x v="0"/>
    <m/>
    <m/>
    <n v="0"/>
    <m/>
    <m/>
    <s v="'"/>
    <n v="105.47"/>
  </r>
  <r>
    <x v="0"/>
    <s v="0009526"/>
    <s v="2"/>
    <s v="NFS"/>
    <s v="11952"/>
    <x v="46"/>
    <x v="2"/>
    <s v="610611"/>
    <x v="0"/>
    <s v="347404"/>
    <s v="'43397397000100"/>
    <s v="TIETE"/>
    <x v="0"/>
    <x v="1"/>
    <s v="Uso autorizado"/>
    <s v="'42250206013812000581550020000095261437380389"/>
    <s v="Normal"/>
    <n v="3693.08"/>
    <n v="3693.08"/>
    <n v="0"/>
    <n v="0"/>
    <n v="0"/>
    <n v="147.72"/>
    <n v="0"/>
    <n v="0"/>
    <n v="0"/>
    <n v="3693.08"/>
    <n v="0"/>
    <n v="3545.36"/>
    <n v="58.5"/>
    <n v="269.45"/>
    <x v="0"/>
    <x v="0"/>
    <m/>
    <m/>
    <n v="0"/>
    <m/>
    <m/>
    <s v="'"/>
    <n v="3693.08"/>
  </r>
  <r>
    <x v="0"/>
    <s v="0009527"/>
    <s v="2"/>
    <s v="NFS"/>
    <s v="34917"/>
    <x v="47"/>
    <x v="2"/>
    <s v="610610"/>
    <x v="0"/>
    <s v="346879"/>
    <s v="'13153484000150"/>
    <s v="FORTALEZA"/>
    <x v="9"/>
    <x v="1"/>
    <s v="Uso autorizado"/>
    <s v="'42250206013812000581550020000095271763073253"/>
    <s v="Normal"/>
    <n v="2580.29"/>
    <n v="2529.6999999999998"/>
    <n v="0"/>
    <n v="0"/>
    <n v="50.59"/>
    <n v="103.21"/>
    <n v="0"/>
    <n v="0"/>
    <n v="0"/>
    <n v="2580.29"/>
    <n v="0"/>
    <n v="2477.08"/>
    <n v="40.880000000000003"/>
    <n v="188.27"/>
    <x v="0"/>
    <x v="0"/>
    <m/>
    <m/>
    <n v="0"/>
    <m/>
    <m/>
    <s v="'"/>
    <n v="2580.29"/>
  </r>
  <r>
    <x v="0"/>
    <s v="0009528"/>
    <s v="2"/>
    <s v="NFS"/>
    <s v="39975"/>
    <x v="48"/>
    <x v="2"/>
    <s v="610611"/>
    <x v="0"/>
    <s v="345971"/>
    <s v="'26977332000114"/>
    <s v="RIO DE JANEIRO"/>
    <x v="2"/>
    <x v="1"/>
    <s v="Uso autorizado"/>
    <s v="'42250206013812000581550020000095281422321033"/>
    <s v="Normal"/>
    <n v="77.56"/>
    <n v="53.4"/>
    <n v="0"/>
    <n v="0"/>
    <n v="24.16"/>
    <n v="3.1"/>
    <n v="0"/>
    <n v="0"/>
    <n v="0"/>
    <n v="53.4"/>
    <n v="0"/>
    <n v="74.459999999999994"/>
    <n v="1.23"/>
    <n v="5.66"/>
    <x v="0"/>
    <x v="0"/>
    <m/>
    <m/>
    <n v="0"/>
    <m/>
    <m/>
    <s v="'"/>
    <n v="77.56"/>
  </r>
  <r>
    <x v="0"/>
    <s v="0009529"/>
    <s v="2"/>
    <s v="NFS"/>
    <s v="36346"/>
    <x v="49"/>
    <x v="2"/>
    <s v="510603"/>
    <x v="5"/>
    <s v="346063"/>
    <s v="'29229456000100"/>
    <s v="BRUSQUE"/>
    <x v="3"/>
    <x v="1"/>
    <s v="Uso autorizado"/>
    <s v="'42250206013812000581550020000095291620567460"/>
    <s v="Normal"/>
    <n v="59.05"/>
    <n v="47.89"/>
    <n v="0"/>
    <n v="0"/>
    <n v="11.16"/>
    <n v="7.09"/>
    <n v="0"/>
    <n v="0"/>
    <n v="0"/>
    <n v="59.05"/>
    <n v="0"/>
    <n v="51.96"/>
    <n v="0.86"/>
    <n v="3.95"/>
    <x v="0"/>
    <x v="0"/>
    <m/>
    <m/>
    <n v="0"/>
    <m/>
    <m/>
    <s v="'"/>
    <n v="59.05"/>
  </r>
  <r>
    <x v="0"/>
    <s v="0009530"/>
    <s v="2"/>
    <s v="NFS"/>
    <s v="19438"/>
    <x v="50"/>
    <x v="2"/>
    <s v="610611"/>
    <x v="0"/>
    <s v="344909"/>
    <s v="'05543695000171"/>
    <s v="SOCORRO"/>
    <x v="0"/>
    <x v="1"/>
    <s v="Uso autorizado"/>
    <s v="'42250206013812000581550020000095301089482820"/>
    <s v="Normal"/>
    <n v="152.37"/>
    <n v="98.4"/>
    <n v="0"/>
    <n v="0"/>
    <n v="53.97"/>
    <n v="6.09"/>
    <n v="0"/>
    <n v="0"/>
    <n v="0"/>
    <n v="98.4"/>
    <n v="0"/>
    <n v="146.28"/>
    <n v="2.41"/>
    <n v="11.12"/>
    <x v="0"/>
    <x v="0"/>
    <m/>
    <m/>
    <n v="0"/>
    <m/>
    <m/>
    <s v="'"/>
    <n v="152.37"/>
  </r>
  <r>
    <x v="0"/>
    <s v="0009531"/>
    <s v="2"/>
    <s v="NFS"/>
    <s v="14523"/>
    <x v="51"/>
    <x v="2"/>
    <s v="610611"/>
    <x v="0"/>
    <s v="343735"/>
    <s v="'57343345000165"/>
    <s v="SAO PAULO"/>
    <x v="0"/>
    <x v="1"/>
    <s v="Uso autorizado"/>
    <s v="'42250206013812000581550020000095311139494009"/>
    <s v="Normal"/>
    <n v="95.78"/>
    <n v="95.78"/>
    <n v="0"/>
    <n v="0"/>
    <n v="0"/>
    <n v="3.83"/>
    <n v="0"/>
    <n v="0"/>
    <n v="0"/>
    <n v="95.78"/>
    <n v="0"/>
    <n v="91.95"/>
    <n v="1.52"/>
    <n v="6.99"/>
    <x v="0"/>
    <x v="0"/>
    <m/>
    <m/>
    <n v="0"/>
    <m/>
    <m/>
    <s v="'"/>
    <n v="95.78"/>
  </r>
  <r>
    <x v="0"/>
    <s v="0009532"/>
    <s v="2"/>
    <s v="NFS"/>
    <s v="40348"/>
    <x v="19"/>
    <x v="2"/>
    <s v="510605"/>
    <x v="5"/>
    <s v="346913"/>
    <s v="'05951356000639"/>
    <s v="BLUMENAU"/>
    <x v="3"/>
    <x v="1"/>
    <s v="Uso autorizado"/>
    <s v="'42250206013812000581550020000095321525356738"/>
    <s v="Normal"/>
    <n v="16559.05"/>
    <n v="16559.05"/>
    <n v="0"/>
    <n v="0"/>
    <n v="0"/>
    <n v="662.36"/>
    <n v="0"/>
    <n v="0"/>
    <n v="0"/>
    <n v="16559.05"/>
    <n v="0"/>
    <n v="15896.69"/>
    <n v="262.3"/>
    <n v="1208.1500000000001"/>
    <x v="0"/>
    <x v="0"/>
    <m/>
    <m/>
    <n v="0"/>
    <m/>
    <m/>
    <s v="'"/>
    <n v="16559.05"/>
  </r>
  <r>
    <x v="0"/>
    <s v="0009533"/>
    <s v="2"/>
    <s v="NFS"/>
    <s v="38737"/>
    <x v="52"/>
    <x v="2"/>
    <s v="610611"/>
    <x v="0"/>
    <s v="347282"/>
    <s v="'23112462000104"/>
    <s v="SAO PAULO"/>
    <x v="0"/>
    <x v="1"/>
    <s v="Uso autorizado"/>
    <s v="'42250206013812000581550020000095331452024045"/>
    <s v="Normal"/>
    <n v="14217.35"/>
    <n v="14217.35"/>
    <n v="0"/>
    <n v="0"/>
    <n v="0"/>
    <n v="568.69000000000005"/>
    <n v="0"/>
    <n v="0"/>
    <n v="0"/>
    <n v="14217.35"/>
    <n v="0"/>
    <n v="13648.66"/>
    <n v="225.2"/>
    <n v="1037.3"/>
    <x v="0"/>
    <x v="0"/>
    <m/>
    <m/>
    <n v="0"/>
    <m/>
    <m/>
    <s v="'"/>
    <n v="14217.35"/>
  </r>
  <r>
    <x v="0"/>
    <s v="0009534"/>
    <s v="2"/>
    <s v="NFS"/>
    <s v="39893"/>
    <x v="53"/>
    <x v="2"/>
    <s v="610611"/>
    <x v="0"/>
    <s v="347298"/>
    <s v="'55233959000169"/>
    <s v="ARACATUBA"/>
    <x v="0"/>
    <x v="1"/>
    <s v="Uso autorizado"/>
    <s v="'42250206013812000581550020000095341548718878"/>
    <s v="Normal"/>
    <n v="594"/>
    <n v="594"/>
    <n v="0"/>
    <n v="0"/>
    <n v="0"/>
    <n v="23.76"/>
    <n v="0"/>
    <n v="0"/>
    <n v="0"/>
    <n v="594"/>
    <n v="0"/>
    <n v="570.24"/>
    <n v="9.41"/>
    <n v="43.34"/>
    <x v="0"/>
    <x v="0"/>
    <m/>
    <m/>
    <n v="0"/>
    <m/>
    <m/>
    <s v="'"/>
    <n v="594"/>
  </r>
  <r>
    <x v="0"/>
    <s v="0009535"/>
    <s v="2"/>
    <s v="NFS"/>
    <s v="38978"/>
    <x v="54"/>
    <x v="2"/>
    <s v="510603"/>
    <x v="5"/>
    <s v="347456"/>
    <s v="'50709945000155"/>
    <s v="BALNEARIO CAMBORIU"/>
    <x v="3"/>
    <x v="1"/>
    <s v="Uso autorizado"/>
    <s v="'42250206013812000581550020000095351793885630"/>
    <s v="Normal"/>
    <n v="955"/>
    <n v="955"/>
    <n v="0"/>
    <n v="0"/>
    <n v="0"/>
    <n v="114.6"/>
    <n v="0"/>
    <n v="0"/>
    <n v="0"/>
    <n v="955"/>
    <n v="0"/>
    <n v="840.4"/>
    <n v="13.87"/>
    <n v="63.87"/>
    <x v="0"/>
    <x v="0"/>
    <m/>
    <m/>
    <n v="0"/>
    <m/>
    <m/>
    <s v="'"/>
    <n v="955"/>
  </r>
  <r>
    <x v="0"/>
    <s v="0009536"/>
    <s v="2"/>
    <s v="NFS"/>
    <s v="23761"/>
    <x v="55"/>
    <x v="2"/>
    <s v="510601"/>
    <x v="5"/>
    <s v="347416"/>
    <s v="'01674398000104"/>
    <s v="NAVEGANTES"/>
    <x v="3"/>
    <x v="1"/>
    <s v="Uso autorizado"/>
    <s v="'42250206013812000581550020000095361472774742"/>
    <s v="Normal"/>
    <n v="1734.2"/>
    <n v="1734.2"/>
    <n v="0"/>
    <n v="0"/>
    <n v="0"/>
    <n v="69.37"/>
    <n v="0"/>
    <n v="0"/>
    <n v="0"/>
    <n v="1734.2"/>
    <n v="0"/>
    <n v="1664.83"/>
    <n v="27.47"/>
    <n v="126.53"/>
    <x v="0"/>
    <x v="0"/>
    <m/>
    <m/>
    <n v="0"/>
    <m/>
    <m/>
    <s v="'"/>
    <n v="1734.2"/>
  </r>
  <r>
    <x v="0"/>
    <s v="0009537"/>
    <s v="2"/>
    <s v="NFS"/>
    <s v="35360"/>
    <x v="56"/>
    <x v="2"/>
    <s v="610610"/>
    <x v="0"/>
    <s v="347371"/>
    <s v="'29780867000199"/>
    <s v="ITAITINGA"/>
    <x v="9"/>
    <x v="1"/>
    <s v="Uso autorizado"/>
    <s v="'42250206013812000581550020000095371155292559"/>
    <s v="Normal"/>
    <n v="3756.7"/>
    <n v="3655.9"/>
    <n v="0"/>
    <n v="0"/>
    <n v="100.8"/>
    <n v="150.27000000000001"/>
    <n v="0"/>
    <n v="0"/>
    <n v="0"/>
    <n v="3756.7"/>
    <n v="0"/>
    <n v="3606.43"/>
    <n v="59.51"/>
    <n v="274.08999999999997"/>
    <x v="0"/>
    <x v="0"/>
    <m/>
    <m/>
    <n v="0"/>
    <m/>
    <m/>
    <s v="'"/>
    <n v="3756.7"/>
  </r>
  <r>
    <x v="0"/>
    <s v="0009538"/>
    <s v="2"/>
    <s v="NFT"/>
    <s v="33240"/>
    <x v="13"/>
    <x v="2"/>
    <s v="62207"/>
    <x v="8"/>
    <s v="347421"/>
    <s v="'06013812000239"/>
    <s v="BELO HORIZONTE"/>
    <x v="4"/>
    <x v="1"/>
    <s v="Uso autorizado"/>
    <s v="'42250206013812000581550020000095381931682812"/>
    <s v="Normal"/>
    <n v="11.76"/>
    <n v="11.76"/>
    <n v="0"/>
    <n v="0"/>
    <n v="0"/>
    <n v="0.47"/>
    <n v="0"/>
    <n v="0"/>
    <n v="0"/>
    <n v="11.76"/>
    <n v="0"/>
    <n v="11.29"/>
    <n v="0.19"/>
    <n v="0.86"/>
    <x v="0"/>
    <x v="1"/>
    <m/>
    <m/>
    <n v="0"/>
    <m/>
    <m/>
    <s v="'"/>
    <n v="11.76"/>
  </r>
  <r>
    <x v="0"/>
    <s v="0009539"/>
    <s v="2"/>
    <s v="NFT"/>
    <s v="33240"/>
    <x v="13"/>
    <x v="2"/>
    <s v="62207"/>
    <x v="8"/>
    <s v="347337"/>
    <s v="'06013812000239"/>
    <s v="BELO HORIZONTE"/>
    <x v="4"/>
    <x v="1"/>
    <s v="Uso autorizado"/>
    <s v="'42250206013812000581550020000095391253758484"/>
    <s v="Normal"/>
    <n v="300.06"/>
    <n v="300.06"/>
    <n v="0"/>
    <n v="0"/>
    <n v="0"/>
    <n v="12"/>
    <n v="0"/>
    <n v="0"/>
    <n v="0"/>
    <n v="300.06"/>
    <n v="0"/>
    <n v="288.06"/>
    <n v="4.7699999999999996"/>
    <n v="21.89"/>
    <x v="0"/>
    <x v="1"/>
    <m/>
    <m/>
    <n v="0"/>
    <m/>
    <m/>
    <s v="'"/>
    <n v="300.06"/>
  </r>
  <r>
    <x v="0"/>
    <s v="0009540"/>
    <s v="2"/>
    <s v="NFS"/>
    <s v="34243"/>
    <x v="57"/>
    <x v="2"/>
    <s v="69929m"/>
    <x v="7"/>
    <s v="346484"/>
    <s v="'32649954000116"/>
    <s v="SAO PAULO"/>
    <x v="0"/>
    <x v="1"/>
    <s v="Uso autorizado"/>
    <s v="'42250206013812000581550020000095401339465320"/>
    <s v="Normal"/>
    <n v="10"/>
    <n v="10"/>
    <n v="0"/>
    <n v="0"/>
    <n v="0"/>
    <n v="0.4"/>
    <n v="0"/>
    <n v="0"/>
    <n v="0"/>
    <n v="0"/>
    <n v="0"/>
    <n v="9.6"/>
    <n v="0.16"/>
    <n v="0.73"/>
    <x v="0"/>
    <x v="1"/>
    <m/>
    <m/>
    <n v="0"/>
    <m/>
    <m/>
    <s v="'"/>
    <n v="10"/>
  </r>
  <r>
    <x v="0"/>
    <s v="0009541"/>
    <s v="2"/>
    <s v="NFS"/>
    <s v="38881"/>
    <x v="58"/>
    <x v="2"/>
    <s v="610611"/>
    <x v="0"/>
    <s v="347459"/>
    <s v="'21111852000126"/>
    <s v="RIO DE JANEIRO"/>
    <x v="2"/>
    <x v="1"/>
    <s v="Uso autorizado"/>
    <s v="'42250206013812000581550020000095411926310100"/>
    <s v="Normal"/>
    <n v="2508"/>
    <n v="2508"/>
    <n v="0"/>
    <n v="0"/>
    <n v="0"/>
    <n v="100.32"/>
    <n v="0"/>
    <n v="0"/>
    <n v="0"/>
    <n v="2508"/>
    <n v="0"/>
    <n v="2407.6799999999998"/>
    <n v="39.72"/>
    <n v="183"/>
    <x v="0"/>
    <x v="0"/>
    <m/>
    <m/>
    <n v="0"/>
    <m/>
    <m/>
    <s v="'"/>
    <n v="2508"/>
  </r>
  <r>
    <x v="0"/>
    <s v="0009542"/>
    <s v="2"/>
    <s v="NFE"/>
    <s v="26715"/>
    <x v="59"/>
    <x v="2"/>
    <s v="31208"/>
    <x v="9"/>
    <s v=" "/>
    <s v="'"/>
    <s v="CHINA"/>
    <x v="10"/>
    <x v="1"/>
    <s v="Uso autorizado"/>
    <s v="'42250206013812000581550020000095421538941053"/>
    <s v="Normal"/>
    <n v="-9880.0400000000009"/>
    <n v="-9880.0400000000009"/>
    <n v="0"/>
    <n v="0"/>
    <n v="0"/>
    <n v="0"/>
    <n v="-9880.0400000000009"/>
    <n v="0"/>
    <n v="0"/>
    <n v="-9880.0400000000009"/>
    <n v="0"/>
    <n v="0"/>
    <n v="0"/>
    <n v="0"/>
    <x v="0"/>
    <x v="1"/>
    <m/>
    <m/>
    <n v="0"/>
    <m/>
    <m/>
    <s v="'"/>
    <n v="0"/>
  </r>
  <r>
    <x v="0"/>
    <s v="0009543"/>
    <s v="2"/>
    <s v="NFE"/>
    <s v="26715"/>
    <x v="59"/>
    <x v="2"/>
    <s v="31208"/>
    <x v="9"/>
    <s v=" "/>
    <s v="'"/>
    <s v="CHINA"/>
    <x v="10"/>
    <x v="1"/>
    <s v="Uso autorizado"/>
    <s v="'42250206013812000581550020000095431105226649"/>
    <s v="Normal"/>
    <n v="-9697.15"/>
    <n v="-9697.15"/>
    <n v="0"/>
    <n v="0"/>
    <n v="0"/>
    <n v="0"/>
    <n v="-9697.15"/>
    <n v="0"/>
    <n v="0"/>
    <n v="-9697.15"/>
    <n v="0"/>
    <n v="0"/>
    <n v="0"/>
    <n v="0"/>
    <x v="0"/>
    <x v="1"/>
    <m/>
    <m/>
    <n v="0"/>
    <m/>
    <m/>
    <s v="'"/>
    <n v="0"/>
  </r>
  <r>
    <x v="0"/>
    <s v="0009544"/>
    <s v="2"/>
    <s v="NFE"/>
    <s v="31833"/>
    <x v="60"/>
    <x v="2"/>
    <s v="31208"/>
    <x v="9"/>
    <s v=" "/>
    <s v="'"/>
    <s v="SHAOXING"/>
    <x v="10"/>
    <x v="1"/>
    <s v="Uso autorizado"/>
    <s v="'42250206013812000581550020000095441658484053"/>
    <s v="Normal"/>
    <n v="-14838.74"/>
    <n v="-14838.74"/>
    <n v="0"/>
    <n v="0"/>
    <n v="0"/>
    <n v="0"/>
    <n v="-14838.74"/>
    <n v="0"/>
    <n v="0"/>
    <n v="-14838.74"/>
    <n v="0"/>
    <n v="0"/>
    <n v="0"/>
    <n v="0"/>
    <x v="0"/>
    <x v="1"/>
    <m/>
    <m/>
    <n v="0"/>
    <m/>
    <m/>
    <s v="'"/>
    <n v="0"/>
  </r>
  <r>
    <x v="0"/>
    <s v="0009545"/>
    <s v="2"/>
    <s v="NFS"/>
    <s v="39268"/>
    <x v="61"/>
    <x v="2"/>
    <s v="510605"/>
    <x v="5"/>
    <s v="347468"/>
    <s v="'37658111000108"/>
    <s v="RIO DO SUL"/>
    <x v="3"/>
    <x v="1"/>
    <s v="Uso autorizado"/>
    <s v="'42250206013812000581550020000095451215800794"/>
    <s v="Normal"/>
    <n v="16103.64"/>
    <n v="16103.64"/>
    <n v="0"/>
    <n v="0"/>
    <n v="0"/>
    <n v="644.15"/>
    <n v="0"/>
    <n v="0"/>
    <n v="0"/>
    <n v="16103.64"/>
    <n v="0"/>
    <n v="15459.49"/>
    <n v="255.08"/>
    <n v="1174.92"/>
    <x v="0"/>
    <x v="0"/>
    <m/>
    <m/>
    <n v="0"/>
    <m/>
    <m/>
    <s v="'"/>
    <n v="16103.64"/>
  </r>
  <r>
    <x v="0"/>
    <s v="0009546"/>
    <s v="2"/>
    <s v="NFE"/>
    <s v="26715"/>
    <x v="59"/>
    <x v="3"/>
    <s v="31208"/>
    <x v="9"/>
    <s v=" "/>
    <s v="'"/>
    <s v="CHINA"/>
    <x v="10"/>
    <x v="1"/>
    <s v="Uso autorizado"/>
    <s v="'42250206013812000581550020000095461687850628"/>
    <s v="Normal"/>
    <n v="-9426.5400000000009"/>
    <n v="-9426.5400000000009"/>
    <n v="0"/>
    <n v="0"/>
    <n v="0"/>
    <n v="0"/>
    <n v="-9426.5400000000009"/>
    <n v="0"/>
    <n v="0"/>
    <n v="-9426.5400000000009"/>
    <n v="0"/>
    <n v="0"/>
    <n v="0"/>
    <n v="0"/>
    <x v="0"/>
    <x v="1"/>
    <m/>
    <m/>
    <n v="0"/>
    <m/>
    <m/>
    <s v="'"/>
    <n v="0"/>
  </r>
  <r>
    <x v="0"/>
    <s v="0009547"/>
    <s v="2"/>
    <s v="NFS"/>
    <s v="38787"/>
    <x v="62"/>
    <x v="3"/>
    <s v="510601"/>
    <x v="5"/>
    <s v="347268"/>
    <s v="'84229889000173"/>
    <s v="APIUNA"/>
    <x v="3"/>
    <x v="1"/>
    <s v="Uso autorizado"/>
    <s v="'42250206013812000581550020000095471237873039"/>
    <s v="Normal"/>
    <n v="65.36"/>
    <n v="45.28"/>
    <n v="0"/>
    <n v="0"/>
    <n v="20.079999999999998"/>
    <n v="2.61"/>
    <n v="0"/>
    <n v="0"/>
    <n v="0"/>
    <n v="65.36"/>
    <n v="0"/>
    <n v="62.75"/>
    <n v="1.04"/>
    <n v="4.7699999999999996"/>
    <x v="0"/>
    <x v="0"/>
    <m/>
    <m/>
    <n v="0"/>
    <m/>
    <m/>
    <s v="'"/>
    <n v="65.36"/>
  </r>
  <r>
    <x v="0"/>
    <s v="0009548"/>
    <s v="2"/>
    <s v="NFS"/>
    <s v="40416"/>
    <x v="63"/>
    <x v="3"/>
    <s v="510603"/>
    <x v="5"/>
    <s v="347066"/>
    <s v="'57009115000164"/>
    <s v="CRICIUMA"/>
    <x v="3"/>
    <x v="1"/>
    <s v="Uso autorizado"/>
    <s v="'42250206013812000581550020000095481269965521"/>
    <s v="Normal"/>
    <n v="89.23"/>
    <n v="64.5"/>
    <n v="0"/>
    <n v="0"/>
    <n v="21.93"/>
    <n v="10.37"/>
    <n v="0"/>
    <n v="0"/>
    <n v="2.8"/>
    <n v="0"/>
    <n v="0"/>
    <n v="76.06"/>
    <n v="1.25"/>
    <n v="5.78"/>
    <x v="0"/>
    <x v="0"/>
    <m/>
    <m/>
    <n v="0"/>
    <m/>
    <m/>
    <s v="'"/>
    <n v="86.43"/>
  </r>
  <r>
    <x v="0"/>
    <s v="0009549"/>
    <s v="2"/>
    <s v="NFS"/>
    <s v="32191"/>
    <x v="64"/>
    <x v="3"/>
    <s v="612303"/>
    <x v="3"/>
    <s v="347305"/>
    <s v="'10998816000100"/>
    <s v="CERQUILHO"/>
    <x v="0"/>
    <x v="1"/>
    <s v="Uso autorizado"/>
    <s v="'42250206013812000581550020000095491591697286"/>
    <s v="Normal"/>
    <n v="315.73"/>
    <n v="276.27999999999997"/>
    <n v="0"/>
    <n v="0"/>
    <n v="39.450000000000003"/>
    <n v="12.63"/>
    <n v="0"/>
    <n v="0"/>
    <n v="0"/>
    <n v="315.73"/>
    <n v="0"/>
    <n v="303.10000000000002"/>
    <n v="5.0199999999999996"/>
    <n v="23.04"/>
    <x v="0"/>
    <x v="0"/>
    <n v="9550"/>
    <n v="2"/>
    <n v="32191"/>
    <s v="XAVIER STRUFALDI &amp; CIA LTDA"/>
    <d v="2025-02-06T00:00:00"/>
    <s v="'42250206013812000581550020000095501612432201"/>
    <n v="315.73"/>
  </r>
  <r>
    <x v="0"/>
    <s v="0009550"/>
    <s v="2"/>
    <s v="NFS"/>
    <s v="36506"/>
    <x v="65"/>
    <x v="3"/>
    <s v="612304"/>
    <x v="4"/>
    <m/>
    <s v="'33379056000158"/>
    <s v="CERQUILHO"/>
    <x v="0"/>
    <x v="1"/>
    <s v="Uso autorizado"/>
    <s v="'42250206013812000581550020000095501612432201"/>
    <s v="Normal"/>
    <n v="315.73"/>
    <n v="276.27999999999997"/>
    <n v="0"/>
    <n v="0"/>
    <n v="0"/>
    <n v="0"/>
    <n v="315.73"/>
    <n v="0"/>
    <n v="0"/>
    <n v="315.73"/>
    <n v="0"/>
    <n v="0"/>
    <n v="0"/>
    <n v="0"/>
    <x v="0"/>
    <x v="1"/>
    <n v="9549"/>
    <n v="2"/>
    <n v="36506"/>
    <s v="GUILHERME PIERRE"/>
    <d v="2025-02-06T00:00:00"/>
    <s v="'42250206013812000581550020000095491591697286"/>
    <n v="0"/>
  </r>
  <r>
    <x v="0"/>
    <s v="0009551"/>
    <s v="2"/>
    <s v="NFS"/>
    <s v="30614"/>
    <x v="66"/>
    <x v="3"/>
    <s v="610611"/>
    <x v="0"/>
    <s v="347137"/>
    <s v="'09429227000121"/>
    <s v="CERQUILHO"/>
    <x v="0"/>
    <x v="0"/>
    <s v="Documento Cancelado"/>
    <s v="'42250206013812000581550020000095511643338468"/>
    <s v="Normal"/>
    <n v="99.5"/>
    <n v="99.5"/>
    <n v="0"/>
    <n v="0"/>
    <n v="0"/>
    <n v="3.98"/>
    <n v="0"/>
    <n v="0"/>
    <n v="0"/>
    <n v="99.5"/>
    <n v="0"/>
    <n v="95.52"/>
    <n v="1.58"/>
    <n v="7.26"/>
    <x v="0"/>
    <x v="0"/>
    <m/>
    <m/>
    <n v="0"/>
    <m/>
    <m/>
    <s v="'"/>
    <n v="99.5"/>
  </r>
  <r>
    <x v="0"/>
    <s v="0009552"/>
    <s v="2"/>
    <s v="NFS"/>
    <s v="35451"/>
    <x v="67"/>
    <x v="3"/>
    <s v="69929m"/>
    <x v="7"/>
    <s v="347415"/>
    <s v="'08714508000163"/>
    <s v="FORTALEZA"/>
    <x v="9"/>
    <x v="1"/>
    <s v="Uso autorizado"/>
    <s v="'42250206013812000581550020000095521427370453"/>
    <s v="Normal"/>
    <n v="45"/>
    <n v="45"/>
    <n v="0"/>
    <n v="0"/>
    <n v="0"/>
    <n v="1.8"/>
    <n v="0"/>
    <n v="0"/>
    <n v="0"/>
    <n v="0"/>
    <n v="0"/>
    <n v="43.2"/>
    <n v="0.72"/>
    <n v="3.27"/>
    <x v="0"/>
    <x v="1"/>
    <m/>
    <m/>
    <n v="0"/>
    <m/>
    <m/>
    <s v="'"/>
    <n v="45"/>
  </r>
  <r>
    <x v="0"/>
    <s v="0009553"/>
    <s v="2"/>
    <s v="NFS"/>
    <s v="40459"/>
    <x v="68"/>
    <x v="3"/>
    <s v="610611"/>
    <x v="0"/>
    <s v="346838"/>
    <s v="'23600728000150"/>
    <s v="SAO PAULO"/>
    <x v="0"/>
    <x v="1"/>
    <s v="Uso autorizado"/>
    <s v="'42250206013812000581550020000095531388430060"/>
    <s v="Normal"/>
    <n v="200.85"/>
    <n v="200.85"/>
    <n v="0"/>
    <n v="0"/>
    <n v="0"/>
    <n v="8.0299999999999994"/>
    <n v="0"/>
    <n v="0"/>
    <n v="0"/>
    <n v="200.85"/>
    <n v="0"/>
    <n v="192.82"/>
    <n v="3.18"/>
    <n v="14.65"/>
    <x v="0"/>
    <x v="0"/>
    <m/>
    <m/>
    <n v="0"/>
    <m/>
    <m/>
    <s v="'"/>
    <n v="200.85"/>
  </r>
  <r>
    <x v="0"/>
    <s v="0009554"/>
    <s v="2"/>
    <s v="NFS"/>
    <s v="39955"/>
    <x v="69"/>
    <x v="3"/>
    <s v="610611"/>
    <x v="0"/>
    <s v="345554"/>
    <s v="'40840071000117"/>
    <s v="FARROUPILHA"/>
    <x v="7"/>
    <x v="1"/>
    <s v="Uso autorizado"/>
    <s v="'42250206013812000581550020000095541328212765"/>
    <s v="Normal"/>
    <n v="2430.48"/>
    <n v="2430.48"/>
    <n v="0"/>
    <n v="0"/>
    <n v="0"/>
    <n v="97.22"/>
    <n v="0"/>
    <n v="0"/>
    <n v="0"/>
    <n v="2430.48"/>
    <n v="0"/>
    <n v="2333.2600000000002"/>
    <n v="38.5"/>
    <n v="177.32"/>
    <x v="0"/>
    <x v="0"/>
    <m/>
    <m/>
    <n v="0"/>
    <m/>
    <m/>
    <s v="'"/>
    <n v="2430.48"/>
  </r>
  <r>
    <x v="0"/>
    <s v="0009555"/>
    <s v="2"/>
    <s v="NFS"/>
    <s v="22342"/>
    <x v="70"/>
    <x v="3"/>
    <s v="612303"/>
    <x v="3"/>
    <s v="347462"/>
    <s v="'07002438000158"/>
    <s v="SAO PAULO"/>
    <x v="0"/>
    <x v="1"/>
    <s v="Uso autorizado"/>
    <s v="'42250206013812000581550020000095551525545080"/>
    <s v="Normal"/>
    <n v="9207.6299999999992"/>
    <n v="9207.6299999999992"/>
    <n v="0"/>
    <n v="0"/>
    <n v="0"/>
    <n v="368.31"/>
    <n v="0"/>
    <n v="0"/>
    <n v="0"/>
    <n v="9207.6299999999992"/>
    <n v="0"/>
    <n v="8839.32"/>
    <n v="145.85"/>
    <n v="671.79"/>
    <x v="0"/>
    <x v="0"/>
    <n v="9556"/>
    <n v="2"/>
    <n v="22342"/>
    <s v="JYP CONFECCOES LTDA"/>
    <d v="2025-02-06T00:00:00"/>
    <s v="'42250206013812000581550020000095561895109494"/>
    <n v="9207.6299999999992"/>
  </r>
  <r>
    <x v="0"/>
    <s v="0009556"/>
    <s v="2"/>
    <s v="NFS"/>
    <s v="22349"/>
    <x v="71"/>
    <x v="3"/>
    <s v="612304"/>
    <x v="4"/>
    <m/>
    <s v="'07002438000239"/>
    <s v="SAO PAULO"/>
    <x v="0"/>
    <x v="1"/>
    <s v="Uso autorizado"/>
    <s v="'42250206013812000581550020000095561895109494"/>
    <s v="Normal"/>
    <n v="9207.6299999999992"/>
    <n v="9207.6299999999992"/>
    <n v="0"/>
    <n v="0"/>
    <n v="0"/>
    <n v="0"/>
    <n v="9207.6299999999992"/>
    <n v="0"/>
    <n v="0"/>
    <n v="9207.6299999999992"/>
    <n v="0"/>
    <n v="0"/>
    <n v="0"/>
    <n v="0"/>
    <x v="0"/>
    <x v="1"/>
    <n v="9555"/>
    <n v="2"/>
    <n v="22349"/>
    <s v="JYP CONFECCOES LTDA"/>
    <d v="2025-02-06T00:00:00"/>
    <s v="'42250206013812000581550020000095551525545080"/>
    <n v="0"/>
  </r>
  <r>
    <x v="0"/>
    <s v="0009557"/>
    <s v="2"/>
    <s v="NFS"/>
    <s v="31693"/>
    <x v="72"/>
    <x v="3"/>
    <s v="510601"/>
    <x v="5"/>
    <s v="347548"/>
    <s v="'11178950000127"/>
    <s v="JARAGUA DO SUL"/>
    <x v="3"/>
    <x v="1"/>
    <s v="Uso autorizado"/>
    <s v="'42250206013812000581550020000095571382731440"/>
    <s v="Normal"/>
    <n v="15487.5"/>
    <n v="15000"/>
    <n v="0"/>
    <n v="0"/>
    <n v="0"/>
    <n v="600"/>
    <n v="0"/>
    <n v="0"/>
    <n v="487.5"/>
    <n v="0"/>
    <n v="0"/>
    <n v="14400"/>
    <n v="237.6"/>
    <n v="1094.4000000000001"/>
    <x v="0"/>
    <x v="0"/>
    <m/>
    <m/>
    <n v="0"/>
    <m/>
    <m/>
    <s v="'"/>
    <n v="15000"/>
  </r>
  <r>
    <x v="0"/>
    <s v="0009558"/>
    <s v="2"/>
    <s v="NFS"/>
    <s v="17701"/>
    <x v="73"/>
    <x v="3"/>
    <s v="510605"/>
    <x v="5"/>
    <s v="347045"/>
    <s v="'75857243000140"/>
    <s v="BRUSQUE"/>
    <x v="3"/>
    <x v="1"/>
    <s v="Uso autorizado"/>
    <s v="'42250206013812000581550020000095581717230526"/>
    <s v="Normal"/>
    <n v="11359.56"/>
    <n v="11359.56"/>
    <n v="0"/>
    <n v="0"/>
    <n v="0"/>
    <n v="454.38"/>
    <n v="0"/>
    <n v="0"/>
    <n v="0"/>
    <n v="11359.56"/>
    <n v="0"/>
    <n v="10905.18"/>
    <n v="179.94"/>
    <n v="828.79"/>
    <x v="0"/>
    <x v="0"/>
    <m/>
    <m/>
    <n v="0"/>
    <m/>
    <m/>
    <s v="'"/>
    <n v="11359.56"/>
  </r>
  <r>
    <x v="0"/>
    <s v="0009559"/>
    <s v="2"/>
    <s v="NFS"/>
    <s v="28258"/>
    <x v="74"/>
    <x v="3"/>
    <s v="610610"/>
    <x v="0"/>
    <s v="347491"/>
    <s v="'09221267000183"/>
    <s v="GOIANIA"/>
    <x v="11"/>
    <x v="1"/>
    <s v="Uso autorizado"/>
    <s v="'42250206013812000581550020000095591441888872"/>
    <s v="Normal"/>
    <n v="15606.56"/>
    <n v="15462.36"/>
    <n v="0"/>
    <n v="0"/>
    <n v="144.19999999999999"/>
    <n v="624.26"/>
    <n v="0"/>
    <n v="0"/>
    <n v="0"/>
    <n v="15606.56"/>
    <n v="0"/>
    <n v="14982.3"/>
    <n v="247.21"/>
    <n v="1138.6500000000001"/>
    <x v="0"/>
    <x v="0"/>
    <m/>
    <m/>
    <n v="0"/>
    <m/>
    <m/>
    <s v="'"/>
    <n v="15606.56"/>
  </r>
  <r>
    <x v="0"/>
    <s v="0009560"/>
    <s v="2"/>
    <s v="NFS"/>
    <s v="27973"/>
    <x v="75"/>
    <x v="3"/>
    <s v="610611"/>
    <x v="0"/>
    <s v="347507"/>
    <s v="'18521090000121"/>
    <s v="BELO HORIZONTE"/>
    <x v="4"/>
    <x v="1"/>
    <s v="Uso autorizado"/>
    <s v="'42250206013812000581550020000095601458332202"/>
    <s v="Normal"/>
    <n v="3185.16"/>
    <n v="3185.16"/>
    <n v="0"/>
    <n v="0"/>
    <n v="0"/>
    <n v="127.41"/>
    <n v="0"/>
    <n v="0"/>
    <n v="0"/>
    <n v="3185.16"/>
    <n v="0"/>
    <n v="3057.75"/>
    <n v="50.45"/>
    <n v="232.39"/>
    <x v="0"/>
    <x v="0"/>
    <m/>
    <m/>
    <n v="0"/>
    <m/>
    <m/>
    <s v="'"/>
    <n v="3185.16"/>
  </r>
  <r>
    <x v="0"/>
    <s v="0009561"/>
    <s v="2"/>
    <s v="NFS"/>
    <s v="1470"/>
    <x v="76"/>
    <x v="3"/>
    <s v="610610"/>
    <x v="0"/>
    <s v="347484"/>
    <s v="'03486779000195"/>
    <s v="GOIANIA"/>
    <x v="11"/>
    <x v="1"/>
    <s v="Uso autorizado"/>
    <s v="'42250206013812000581550020000095611306472912"/>
    <s v="Normal"/>
    <n v="1568.51"/>
    <n v="1543.5"/>
    <n v="0"/>
    <n v="0"/>
    <n v="25.01"/>
    <n v="62.74"/>
    <n v="0"/>
    <n v="0"/>
    <n v="0"/>
    <n v="1568.51"/>
    <n v="0"/>
    <n v="1505.77"/>
    <n v="24.85"/>
    <n v="114.44"/>
    <x v="0"/>
    <x v="0"/>
    <m/>
    <m/>
    <n v="0"/>
    <m/>
    <m/>
    <s v="'"/>
    <n v="1568.51"/>
  </r>
  <r>
    <x v="0"/>
    <s v="0009562"/>
    <s v="2"/>
    <s v="NFS"/>
    <s v="35888"/>
    <x v="77"/>
    <x v="3"/>
    <s v="610611"/>
    <x v="0"/>
    <s v="347510"/>
    <s v="'19924282000141"/>
    <s v="MONTE SIAO"/>
    <x v="4"/>
    <x v="1"/>
    <s v="Uso autorizado"/>
    <s v="'42250206013812000581550020000095621740885404"/>
    <s v="Normal"/>
    <n v="1811.55"/>
    <n v="1811.55"/>
    <n v="0"/>
    <n v="0"/>
    <n v="0"/>
    <n v="72.459999999999994"/>
    <n v="0"/>
    <n v="0"/>
    <n v="0"/>
    <n v="1811.55"/>
    <n v="0"/>
    <n v="1739.09"/>
    <n v="28.69"/>
    <n v="132.16999999999999"/>
    <x v="0"/>
    <x v="0"/>
    <m/>
    <m/>
    <n v="0"/>
    <m/>
    <m/>
    <s v="'"/>
    <n v="1811.55"/>
  </r>
  <r>
    <x v="0"/>
    <s v="0009563"/>
    <s v="2"/>
    <s v="NFS"/>
    <s v="36568"/>
    <x v="78"/>
    <x v="3"/>
    <s v="610611"/>
    <x v="0"/>
    <s v="347537"/>
    <s v="'37899621000169"/>
    <s v="SAO PAULO"/>
    <x v="0"/>
    <x v="1"/>
    <s v="Uso autorizado"/>
    <s v="'42250206013812000581550020000095631410093110"/>
    <s v="Normal"/>
    <n v="11647.5"/>
    <n v="11647.5"/>
    <n v="0"/>
    <n v="0"/>
    <n v="0"/>
    <n v="465.9"/>
    <n v="0"/>
    <n v="0"/>
    <n v="0"/>
    <n v="11647.5"/>
    <n v="0"/>
    <n v="11181.6"/>
    <n v="184.49"/>
    <n v="849.81"/>
    <x v="0"/>
    <x v="0"/>
    <m/>
    <m/>
    <n v="0"/>
    <m/>
    <m/>
    <s v="'"/>
    <n v="11647.5"/>
  </r>
  <r>
    <x v="0"/>
    <s v="0009564"/>
    <s v="2"/>
    <s v="NFS"/>
    <s v="34334"/>
    <x v="79"/>
    <x v="3"/>
    <s v="610611"/>
    <x v="0"/>
    <s v="347508"/>
    <s v="'07667852000186"/>
    <s v="SAO JOSE DO RIO PRETO"/>
    <x v="0"/>
    <x v="1"/>
    <s v="Uso autorizado"/>
    <s v="'42250206013812000581550020000095641245899093"/>
    <s v="Normal"/>
    <n v="4368.24"/>
    <n v="4368.24"/>
    <n v="0"/>
    <n v="0"/>
    <n v="0"/>
    <n v="174.73"/>
    <n v="0"/>
    <n v="0"/>
    <n v="0"/>
    <n v="4368.24"/>
    <n v="0"/>
    <n v="4193.51"/>
    <n v="69.19"/>
    <n v="318.7"/>
    <x v="0"/>
    <x v="0"/>
    <m/>
    <m/>
    <n v="0"/>
    <m/>
    <m/>
    <s v="'"/>
    <n v="4368.24"/>
  </r>
  <r>
    <x v="0"/>
    <s v="0009565"/>
    <s v="2"/>
    <s v="NFS"/>
    <s v="34157"/>
    <x v="80"/>
    <x v="3"/>
    <s v="610610"/>
    <x v="0"/>
    <s v="347474"/>
    <s v="'28346579000168"/>
    <s v="FORTALEZA"/>
    <x v="9"/>
    <x v="1"/>
    <s v="Uso autorizado"/>
    <s v="'42250206013812000581550020000095651265994242"/>
    <s v="Normal"/>
    <n v="3951.99"/>
    <n v="3876.39"/>
    <n v="0"/>
    <n v="0"/>
    <n v="75.599999999999994"/>
    <n v="158.08000000000001"/>
    <n v="0"/>
    <n v="0"/>
    <n v="0"/>
    <n v="3951.99"/>
    <n v="0"/>
    <n v="3793.91"/>
    <n v="62.6"/>
    <n v="288.33999999999997"/>
    <x v="0"/>
    <x v="0"/>
    <m/>
    <m/>
    <n v="0"/>
    <m/>
    <m/>
    <s v="'"/>
    <n v="3951.99"/>
  </r>
  <r>
    <x v="0"/>
    <s v="0009566"/>
    <s v="2"/>
    <s v="NFS"/>
    <s v="34157"/>
    <x v="80"/>
    <x v="3"/>
    <s v="610610"/>
    <x v="0"/>
    <s v="347481"/>
    <s v="'28346579000168"/>
    <s v="FORTALEZA"/>
    <x v="9"/>
    <x v="1"/>
    <s v="Uso autorizado"/>
    <s v="'42250206013812000581550020000095661792630074"/>
    <s v="Normal"/>
    <n v="2762.5"/>
    <n v="2712.5"/>
    <n v="0"/>
    <n v="0"/>
    <n v="50"/>
    <n v="110.5"/>
    <n v="0"/>
    <n v="0"/>
    <n v="0"/>
    <n v="2762.5"/>
    <n v="0"/>
    <n v="2652"/>
    <n v="43.76"/>
    <n v="201.55"/>
    <x v="0"/>
    <x v="0"/>
    <m/>
    <m/>
    <n v="0"/>
    <m/>
    <m/>
    <s v="'"/>
    <n v="2762.5"/>
  </r>
  <r>
    <x v="0"/>
    <s v="0009567"/>
    <s v="2"/>
    <s v="NFS"/>
    <s v="39693"/>
    <x v="81"/>
    <x v="3"/>
    <s v="610611"/>
    <x v="0"/>
    <s v="347563"/>
    <s v="'48909525000251"/>
    <s v="RIO DE JANEIRO"/>
    <x v="2"/>
    <x v="1"/>
    <s v="Uso autorizado"/>
    <s v="'42250206013812000581550020000095671263060042"/>
    <s v="Normal"/>
    <n v="3827.31"/>
    <n v="3827.31"/>
    <n v="0"/>
    <n v="0"/>
    <n v="0"/>
    <n v="153.09"/>
    <n v="0"/>
    <n v="0"/>
    <n v="0"/>
    <n v="3827.31"/>
    <n v="0"/>
    <n v="3674.22"/>
    <n v="60.62"/>
    <n v="279.25"/>
    <x v="0"/>
    <x v="0"/>
    <m/>
    <m/>
    <n v="0"/>
    <m/>
    <m/>
    <s v="'"/>
    <n v="3827.31"/>
  </r>
  <r>
    <x v="0"/>
    <s v="0009568"/>
    <s v="2"/>
    <s v="NFS"/>
    <s v="37653"/>
    <x v="82"/>
    <x v="3"/>
    <s v="612303"/>
    <x v="3"/>
    <s v="347554"/>
    <s v="'04910327000151"/>
    <s v="COLATINA"/>
    <x v="6"/>
    <x v="1"/>
    <s v="Uso autorizado"/>
    <s v="'42250206013812000581550020000095681807420207"/>
    <s v="Normal"/>
    <n v="3118.7"/>
    <n v="3118.7"/>
    <n v="0"/>
    <n v="0"/>
    <n v="0"/>
    <n v="124.75"/>
    <n v="0"/>
    <n v="0"/>
    <n v="0"/>
    <n v="3118.7"/>
    <n v="0"/>
    <n v="2993.95"/>
    <n v="49.41"/>
    <n v="227.54"/>
    <x v="0"/>
    <x v="0"/>
    <n v="9569"/>
    <n v="2"/>
    <n v="37653"/>
    <s v="MIZ CONFECCOES LTDA ME"/>
    <d v="2025-02-06T00:00:00"/>
    <s v="'42250206013812000581550020000095691672081024"/>
    <n v="3118.7"/>
  </r>
  <r>
    <x v="0"/>
    <s v="0009569"/>
    <s v="2"/>
    <s v="NFS"/>
    <s v="8730"/>
    <x v="83"/>
    <x v="3"/>
    <s v="612304"/>
    <x v="4"/>
    <m/>
    <s v="'02094305000135"/>
    <s v="COLATINA"/>
    <x v="6"/>
    <x v="1"/>
    <s v="Uso autorizado"/>
    <s v="'42250206013812000581550020000095691672081024"/>
    <s v="Normal"/>
    <n v="3118.7"/>
    <n v="3118.7"/>
    <n v="0"/>
    <n v="0"/>
    <n v="0"/>
    <n v="0"/>
    <n v="3118.7"/>
    <n v="0"/>
    <n v="0"/>
    <n v="3118.7"/>
    <n v="0"/>
    <n v="0"/>
    <n v="0"/>
    <n v="0"/>
    <x v="0"/>
    <x v="1"/>
    <n v="9568"/>
    <n v="2"/>
    <n v="8730"/>
    <s v="HELMO LUIZ BOLDRINI ME"/>
    <d v="2025-02-06T00:00:00"/>
    <s v="'42250206013812000581550020000095681807420207"/>
    <n v="0"/>
  </r>
  <r>
    <x v="0"/>
    <s v="0009570"/>
    <s v="2"/>
    <s v="NFS"/>
    <s v="3787"/>
    <x v="84"/>
    <x v="3"/>
    <s v="610610"/>
    <x v="0"/>
    <s v="345702"/>
    <s v="'84749423000107"/>
    <s v="CACOAL"/>
    <x v="12"/>
    <x v="1"/>
    <s v="Uso autorizado"/>
    <s v="'42250206013812000581550020000095701734277823"/>
    <s v="Normal"/>
    <n v="6541.6"/>
    <n v="6541.6"/>
    <n v="0"/>
    <n v="0"/>
    <n v="0"/>
    <n v="261.66000000000003"/>
    <n v="0"/>
    <n v="0"/>
    <n v="0"/>
    <n v="6541.6"/>
    <n v="0"/>
    <n v="6279.94"/>
    <n v="103.62"/>
    <n v="477.27"/>
    <x v="0"/>
    <x v="0"/>
    <m/>
    <m/>
    <n v="0"/>
    <m/>
    <m/>
    <s v="'"/>
    <n v="6541.6"/>
  </r>
  <r>
    <x v="0"/>
    <s v="0009571"/>
    <s v="2"/>
    <s v="NFS"/>
    <s v="40474"/>
    <x v="85"/>
    <x v="3"/>
    <s v="610611"/>
    <x v="0"/>
    <s v="347252"/>
    <s v="'57067197000101"/>
    <s v="SAO PAULO"/>
    <x v="0"/>
    <x v="1"/>
    <s v="Uso autorizado"/>
    <s v="'42250206013812000581550020000095711856471109"/>
    <s v="Normal"/>
    <n v="53727.37"/>
    <n v="53727.37"/>
    <n v="0"/>
    <n v="0"/>
    <n v="0"/>
    <n v="2149.09"/>
    <n v="0"/>
    <n v="0"/>
    <n v="0"/>
    <n v="53727.37"/>
    <n v="0"/>
    <n v="51578.28"/>
    <n v="851.05"/>
    <n v="3919.95"/>
    <x v="0"/>
    <x v="0"/>
    <m/>
    <m/>
    <n v="0"/>
    <m/>
    <m/>
    <s v="'"/>
    <n v="53727.37"/>
  </r>
  <r>
    <x v="0"/>
    <s v="0009572"/>
    <s v="2"/>
    <s v="NFS"/>
    <s v="40474"/>
    <x v="85"/>
    <x v="4"/>
    <s v="610611"/>
    <x v="0"/>
    <s v="347592"/>
    <s v="'57067197000101"/>
    <s v="SAO PAULO"/>
    <x v="0"/>
    <x v="1"/>
    <s v="Uso autorizado"/>
    <s v="'42250206013812000581550020000095721770783703"/>
    <s v="Normal"/>
    <n v="2802.98"/>
    <n v="2802.98"/>
    <n v="0"/>
    <n v="0"/>
    <n v="0"/>
    <n v="112.12"/>
    <n v="0"/>
    <n v="0"/>
    <n v="0"/>
    <n v="2802.98"/>
    <n v="0"/>
    <n v="2690.86"/>
    <n v="44.4"/>
    <n v="204.51"/>
    <x v="0"/>
    <x v="0"/>
    <m/>
    <m/>
    <n v="0"/>
    <m/>
    <m/>
    <s v="'"/>
    <n v="2802.98"/>
  </r>
  <r>
    <x v="0"/>
    <s v="0009573"/>
    <s v="2"/>
    <s v="NFS"/>
    <s v="35485"/>
    <x v="86"/>
    <x v="4"/>
    <s v="610610"/>
    <x v="0"/>
    <s v="347516"/>
    <s v="'15328028000200"/>
    <s v="VILA VELHA"/>
    <x v="6"/>
    <x v="1"/>
    <s v="Uso autorizado"/>
    <s v="'42250206013812000581550020000095731818531056"/>
    <s v="Normal"/>
    <n v="8823.5"/>
    <n v="8823.5"/>
    <n v="0"/>
    <n v="0"/>
    <n v="0"/>
    <n v="352.94"/>
    <n v="0"/>
    <n v="0"/>
    <n v="0"/>
    <n v="8823.5"/>
    <n v="0"/>
    <n v="8470.56"/>
    <n v="139.76"/>
    <n v="643.76"/>
    <x v="0"/>
    <x v="0"/>
    <m/>
    <m/>
    <n v="0"/>
    <m/>
    <m/>
    <s v="'"/>
    <n v="8823.5"/>
  </r>
  <r>
    <x v="0"/>
    <s v="0009574"/>
    <s v="2"/>
    <s v="NFS"/>
    <s v="35485"/>
    <x v="86"/>
    <x v="4"/>
    <s v="610610"/>
    <x v="0"/>
    <s v="347529"/>
    <s v="'15328028000200"/>
    <s v="VILA VELHA"/>
    <x v="6"/>
    <x v="1"/>
    <s v="Uso autorizado"/>
    <s v="'42250206013812000581550020000095741878100580"/>
    <s v="Normal"/>
    <n v="2469.54"/>
    <n v="2469.54"/>
    <n v="0"/>
    <n v="0"/>
    <n v="0"/>
    <n v="98.78"/>
    <n v="0"/>
    <n v="0"/>
    <n v="0"/>
    <n v="2469.54"/>
    <n v="0"/>
    <n v="2370.7600000000002"/>
    <n v="39.11"/>
    <n v="180.18"/>
    <x v="0"/>
    <x v="0"/>
    <m/>
    <m/>
    <n v="0"/>
    <m/>
    <m/>
    <s v="'"/>
    <n v="2469.54"/>
  </r>
  <r>
    <x v="0"/>
    <s v="0009575"/>
    <s v="2"/>
    <s v="NFS"/>
    <s v="34236"/>
    <x v="87"/>
    <x v="4"/>
    <s v="69929m"/>
    <x v="7"/>
    <s v="347514"/>
    <s v="'08402943001809"/>
    <s v="NATAL"/>
    <x v="13"/>
    <x v="1"/>
    <s v="Uso autorizado"/>
    <s v="'42250206013812000581550020000095751761249807"/>
    <s v="Normal"/>
    <n v="30"/>
    <n v="30"/>
    <n v="0"/>
    <n v="0"/>
    <n v="0"/>
    <n v="1.2"/>
    <n v="0"/>
    <n v="0"/>
    <n v="0"/>
    <n v="0"/>
    <n v="0"/>
    <n v="28.8"/>
    <n v="0.48"/>
    <n v="2.19"/>
    <x v="0"/>
    <x v="1"/>
    <m/>
    <m/>
    <n v="0"/>
    <m/>
    <m/>
    <s v="'"/>
    <n v="30"/>
  </r>
  <r>
    <x v="0"/>
    <s v="0009576"/>
    <s v="2"/>
    <s v="NFS"/>
    <s v="14523"/>
    <x v="51"/>
    <x v="4"/>
    <s v="610611"/>
    <x v="0"/>
    <s v="347495"/>
    <s v="'57343345000165"/>
    <s v="SAO PAULO"/>
    <x v="0"/>
    <x v="1"/>
    <s v="Uso autorizado"/>
    <s v="'42250206013812000581550020000095761644196534"/>
    <s v="Normal"/>
    <n v="1103.49"/>
    <n v="1103.49"/>
    <n v="0"/>
    <n v="0"/>
    <n v="0"/>
    <n v="44.14"/>
    <n v="0"/>
    <n v="0"/>
    <n v="0"/>
    <n v="1103.49"/>
    <n v="0"/>
    <n v="1059.3499999999999"/>
    <n v="17.48"/>
    <n v="80.510000000000005"/>
    <x v="0"/>
    <x v="0"/>
    <m/>
    <m/>
    <n v="0"/>
    <m/>
    <m/>
    <s v="'"/>
    <n v="1103.49"/>
  </r>
  <r>
    <x v="0"/>
    <s v="0009577"/>
    <s v="2"/>
    <s v="NFS"/>
    <s v="38284"/>
    <x v="11"/>
    <x v="4"/>
    <s v="59207i"/>
    <x v="6"/>
    <m/>
    <s v="'08248539000842"/>
    <s v="ITAJAI"/>
    <x v="3"/>
    <x v="1"/>
    <s v="Uso autorizado"/>
    <s v="'42250206013812000581550020000095771457747562"/>
    <s v="Normal"/>
    <n v="308.24"/>
    <n v="308.24"/>
    <n v="0"/>
    <n v="0"/>
    <n v="0"/>
    <n v="0"/>
    <n v="308.24"/>
    <n v="0"/>
    <n v="0"/>
    <n v="308.24"/>
    <n v="0"/>
    <n v="308.24"/>
    <n v="5.09"/>
    <n v="23.43"/>
    <x v="0"/>
    <x v="1"/>
    <m/>
    <m/>
    <n v="0"/>
    <m/>
    <m/>
    <s v="'"/>
    <n v="0"/>
  </r>
  <r>
    <x v="0"/>
    <s v="0009578"/>
    <s v="2"/>
    <s v="NFS"/>
    <s v="17319"/>
    <x v="88"/>
    <x v="4"/>
    <s v="610611"/>
    <x v="0"/>
    <s v="347500"/>
    <s v="'07742388000145"/>
    <s v="SAO PAULO"/>
    <x v="0"/>
    <x v="1"/>
    <s v="Uso autorizado"/>
    <s v="'42250206013812000581550020000095781253088207"/>
    <s v="Normal"/>
    <n v="30578.84"/>
    <n v="30578.84"/>
    <n v="0"/>
    <n v="0"/>
    <n v="0"/>
    <n v="1223.1500000000001"/>
    <n v="0"/>
    <n v="0"/>
    <n v="0"/>
    <n v="30578.84"/>
    <n v="0"/>
    <n v="29355.69"/>
    <n v="484.37"/>
    <n v="2231.0300000000002"/>
    <x v="0"/>
    <x v="0"/>
    <m/>
    <m/>
    <n v="0"/>
    <m/>
    <m/>
    <s v="'"/>
    <n v="30578.84"/>
  </r>
  <r>
    <x v="0"/>
    <s v="0009579"/>
    <s v="2"/>
    <s v="NFS"/>
    <s v="29392"/>
    <x v="89"/>
    <x v="4"/>
    <s v="610611"/>
    <x v="0"/>
    <s v="347499"/>
    <s v="'82199415000109"/>
    <s v="JANDAIA DO SUL"/>
    <x v="5"/>
    <x v="1"/>
    <s v="Uso autorizado"/>
    <s v="'42250206013812000581550020000095791684179497"/>
    <s v="Normal"/>
    <n v="1039.5999999999999"/>
    <n v="939.6"/>
    <n v="0"/>
    <n v="0"/>
    <n v="100"/>
    <n v="41.58"/>
    <n v="0"/>
    <n v="0"/>
    <n v="0"/>
    <n v="939.6"/>
    <n v="0"/>
    <n v="998.02"/>
    <n v="16.46"/>
    <n v="75.849999999999994"/>
    <x v="0"/>
    <x v="0"/>
    <m/>
    <m/>
    <n v="0"/>
    <m/>
    <m/>
    <s v="'"/>
    <n v="1039.5999999999999"/>
  </r>
  <r>
    <x v="0"/>
    <s v="0009580"/>
    <s v="2"/>
    <s v="NFS"/>
    <s v="19923"/>
    <x v="90"/>
    <x v="4"/>
    <s v="512301"/>
    <x v="10"/>
    <s v="347437"/>
    <s v="'00933691000186"/>
    <s v="MASSARANDUBA"/>
    <x v="3"/>
    <x v="1"/>
    <s v="Uso autorizado"/>
    <s v="'42250206013812000581550020000095801169087562"/>
    <s v="Normal"/>
    <n v="5396"/>
    <n v="5396"/>
    <n v="0"/>
    <n v="0"/>
    <n v="0"/>
    <n v="215.84"/>
    <n v="0"/>
    <n v="0"/>
    <n v="0"/>
    <n v="5396"/>
    <n v="0"/>
    <n v="5180.16"/>
    <n v="85.47"/>
    <n v="393.69"/>
    <x v="0"/>
    <x v="0"/>
    <n v="9581"/>
    <n v="2"/>
    <n v="19923"/>
    <s v="SIVALSKI INDUSTRIA TEXTIL LTDA"/>
    <d v="2025-02-07T00:00:00"/>
    <s v="'42250206013812000581550020000095811341371550"/>
    <n v="5396"/>
  </r>
  <r>
    <x v="0"/>
    <s v="0009581"/>
    <s v="2"/>
    <s v="NFS"/>
    <s v="38757"/>
    <x v="91"/>
    <x v="4"/>
    <s v="51212"/>
    <x v="11"/>
    <m/>
    <s v="'38830601000102"/>
    <s v="MASSARANDUBA"/>
    <x v="3"/>
    <x v="1"/>
    <s v="Uso autorizado"/>
    <s v="'42250206013812000581550020000095811341371550"/>
    <s v="Normal"/>
    <n v="5396"/>
    <n v="5396"/>
    <n v="0"/>
    <n v="0"/>
    <n v="0"/>
    <n v="0"/>
    <n v="5396"/>
    <n v="0"/>
    <n v="0"/>
    <n v="5396"/>
    <n v="0"/>
    <n v="0"/>
    <n v="0"/>
    <n v="0"/>
    <x v="0"/>
    <x v="1"/>
    <n v="9580"/>
    <n v="2"/>
    <n v="38757"/>
    <s v="MK SERVICOS TEXTEIS LTDA"/>
    <d v="2025-02-07T00:00:00"/>
    <s v="'42250206013812000581550020000095801169087562"/>
    <n v="0"/>
  </r>
  <r>
    <x v="0"/>
    <s v="0009582"/>
    <s v="2"/>
    <s v="NFS"/>
    <s v="34081"/>
    <x v="92"/>
    <x v="5"/>
    <s v="610611"/>
    <x v="0"/>
    <s v="347603"/>
    <s v="'24721940000138"/>
    <s v="SAO PAULO"/>
    <x v="0"/>
    <x v="1"/>
    <s v="Uso autorizado"/>
    <s v="'42250206013812000581550020000095821910035301"/>
    <s v="Normal"/>
    <n v="2546.1"/>
    <n v="2546.1"/>
    <n v="0"/>
    <n v="0"/>
    <n v="0"/>
    <n v="101.84"/>
    <n v="0"/>
    <n v="0"/>
    <n v="0"/>
    <n v="2546.1"/>
    <n v="0"/>
    <n v="2444.2600000000002"/>
    <n v="40.33"/>
    <n v="185.76"/>
    <x v="0"/>
    <x v="0"/>
    <m/>
    <m/>
    <n v="0"/>
    <m/>
    <m/>
    <s v="'"/>
    <n v="2546.1"/>
  </r>
  <r>
    <x v="0"/>
    <s v="0009583"/>
    <s v="2"/>
    <s v="NFS"/>
    <s v="25508"/>
    <x v="93"/>
    <x v="5"/>
    <s v="610611"/>
    <x v="0"/>
    <s v="347524"/>
    <s v="'97532868000174"/>
    <s v="SAO PAULO"/>
    <x v="0"/>
    <x v="1"/>
    <s v="Uso autorizado"/>
    <s v="'42250206013812000581550020000095831494211503"/>
    <s v="Normal"/>
    <n v="79817.97"/>
    <n v="79817.97"/>
    <n v="0"/>
    <n v="0"/>
    <n v="0"/>
    <n v="3192.72"/>
    <n v="0"/>
    <n v="0"/>
    <n v="0"/>
    <n v="79817.97"/>
    <n v="0"/>
    <n v="76625.25"/>
    <n v="1264.32"/>
    <n v="5823.51"/>
    <x v="0"/>
    <x v="0"/>
    <m/>
    <m/>
    <n v="0"/>
    <m/>
    <m/>
    <s v="'"/>
    <n v="79817.97"/>
  </r>
  <r>
    <x v="0"/>
    <s v="0009584"/>
    <s v="2"/>
    <s v="NFS"/>
    <s v="25508"/>
    <x v="93"/>
    <x v="5"/>
    <s v="610611"/>
    <x v="0"/>
    <s v="347525"/>
    <s v="'97532868000174"/>
    <s v="SAO PAULO"/>
    <x v="0"/>
    <x v="1"/>
    <s v="Uso autorizado"/>
    <s v="'42250206013812000581550020000095841353979836"/>
    <s v="Normal"/>
    <n v="79372.98"/>
    <n v="79372.98"/>
    <n v="0"/>
    <n v="0"/>
    <n v="0"/>
    <n v="3174.92"/>
    <n v="0"/>
    <n v="0"/>
    <n v="0"/>
    <n v="79372.98"/>
    <n v="0"/>
    <n v="76198.06"/>
    <n v="1257.27"/>
    <n v="5791.04"/>
    <x v="0"/>
    <x v="0"/>
    <m/>
    <m/>
    <n v="0"/>
    <m/>
    <m/>
    <s v="'"/>
    <n v="79372.98"/>
  </r>
  <r>
    <x v="0"/>
    <s v="0009585"/>
    <s v="2"/>
    <s v="NFS"/>
    <s v="25508"/>
    <x v="93"/>
    <x v="5"/>
    <s v="610611"/>
    <x v="0"/>
    <s v="347528"/>
    <s v="'97532868000174"/>
    <s v="SAO PAULO"/>
    <x v="0"/>
    <x v="1"/>
    <s v="Uso autorizado"/>
    <s v="'42250206013812000581550020000095851294568062"/>
    <s v="Normal"/>
    <n v="79269.070000000007"/>
    <n v="79269.070000000007"/>
    <n v="0"/>
    <n v="0"/>
    <n v="0"/>
    <n v="3170.76"/>
    <n v="0"/>
    <n v="0"/>
    <n v="0"/>
    <n v="79269.070000000007"/>
    <n v="0"/>
    <n v="76098.31"/>
    <n v="1255.6199999999999"/>
    <n v="5783.47"/>
    <x v="0"/>
    <x v="0"/>
    <m/>
    <m/>
    <n v="0"/>
    <m/>
    <m/>
    <s v="'"/>
    <n v="79269.070000000007"/>
  </r>
  <r>
    <x v="0"/>
    <s v="0009586"/>
    <s v="2"/>
    <s v="NFS"/>
    <s v="25508"/>
    <x v="93"/>
    <x v="5"/>
    <s v="610611"/>
    <x v="0"/>
    <s v="347518"/>
    <s v="'97532868000174"/>
    <s v="SAO PAULO"/>
    <x v="0"/>
    <x v="1"/>
    <s v="Uso autorizado"/>
    <s v="'42250206013812000581550020000095861491749873"/>
    <s v="Normal"/>
    <n v="79405.47"/>
    <n v="79405.47"/>
    <n v="0"/>
    <n v="0"/>
    <n v="0"/>
    <n v="3176.22"/>
    <n v="0"/>
    <n v="0"/>
    <n v="0"/>
    <n v="79405.47"/>
    <n v="0"/>
    <n v="76229.25"/>
    <n v="1257.78"/>
    <n v="5793.43"/>
    <x v="0"/>
    <x v="0"/>
    <m/>
    <m/>
    <n v="0"/>
    <m/>
    <m/>
    <s v="'"/>
    <n v="79405.47"/>
  </r>
  <r>
    <x v="0"/>
    <s v="0009587"/>
    <s v="2"/>
    <s v="NFS"/>
    <s v="25508"/>
    <x v="93"/>
    <x v="5"/>
    <s v="610611"/>
    <x v="0"/>
    <s v="347527"/>
    <s v="'97532868000174"/>
    <s v="SAO PAULO"/>
    <x v="0"/>
    <x v="1"/>
    <s v="Uso autorizado"/>
    <s v="'42250206013812000581550020000095871514828038"/>
    <s v="Normal"/>
    <n v="78996.23"/>
    <n v="78996.23"/>
    <n v="0"/>
    <n v="0"/>
    <n v="0"/>
    <n v="3159.85"/>
    <n v="0"/>
    <n v="0"/>
    <n v="0"/>
    <n v="78996.23"/>
    <n v="0"/>
    <n v="75836.38"/>
    <n v="1251.29"/>
    <n v="5763.57"/>
    <x v="0"/>
    <x v="0"/>
    <m/>
    <m/>
    <n v="0"/>
    <m/>
    <m/>
    <s v="'"/>
    <n v="78996.23"/>
  </r>
  <r>
    <x v="0"/>
    <s v="0009588"/>
    <s v="2"/>
    <s v="NFS"/>
    <s v="28881"/>
    <x v="94"/>
    <x v="6"/>
    <s v="610610"/>
    <x v="0"/>
    <s v="347520"/>
    <s v="'05700469000238"/>
    <s v="VILA VELHA"/>
    <x v="6"/>
    <x v="1"/>
    <s v="Uso autorizado"/>
    <s v="'42250206013812000581550020000095881232361202"/>
    <s v="Normal"/>
    <n v="4011.57"/>
    <n v="4011.57"/>
    <n v="0"/>
    <n v="0"/>
    <n v="0"/>
    <n v="160.46"/>
    <n v="0"/>
    <n v="0"/>
    <n v="0"/>
    <n v="4011.57"/>
    <n v="0"/>
    <n v="3851.11"/>
    <n v="63.53"/>
    <n v="292.68"/>
    <x v="0"/>
    <x v="0"/>
    <m/>
    <m/>
    <n v="0"/>
    <m/>
    <m/>
    <s v="'"/>
    <n v="4011.57"/>
  </r>
  <r>
    <x v="0"/>
    <s v="0009589"/>
    <s v="2"/>
    <s v="NFS"/>
    <s v="38087"/>
    <x v="95"/>
    <x v="6"/>
    <s v="610610"/>
    <x v="0"/>
    <s v="347372"/>
    <s v="'32844811000165"/>
    <s v="GOIANIA"/>
    <x v="11"/>
    <x v="1"/>
    <s v="Uso autorizado"/>
    <s v="'42250206013812000581550020000095891809865770"/>
    <s v="Normal"/>
    <n v="27295.99"/>
    <n v="26174.400000000001"/>
    <n v="0"/>
    <n v="0"/>
    <n v="262.39999999999998"/>
    <n v="1057.47"/>
    <n v="0"/>
    <n v="0"/>
    <n v="859.19"/>
    <n v="0"/>
    <n v="0"/>
    <n v="25379.33"/>
    <n v="418.76"/>
    <n v="1928.83"/>
    <x v="0"/>
    <x v="0"/>
    <m/>
    <m/>
    <n v="0"/>
    <m/>
    <m/>
    <s v="'"/>
    <n v="26436.799999999999"/>
  </r>
  <r>
    <x v="0"/>
    <s v="0009590"/>
    <s v="2"/>
    <s v="NFS"/>
    <s v="11919"/>
    <x v="96"/>
    <x v="6"/>
    <s v="610611"/>
    <x v="0"/>
    <s v="347558"/>
    <s v="'02537089000155"/>
    <s v="SAO PAULO"/>
    <x v="0"/>
    <x v="1"/>
    <s v="Uso autorizado"/>
    <s v="'42250206013812000581550020000095901748341548"/>
    <s v="Normal"/>
    <n v="8332.6299999999992"/>
    <n v="8332.6299999999992"/>
    <n v="0"/>
    <n v="0"/>
    <n v="0"/>
    <n v="333.31"/>
    <n v="0"/>
    <n v="0"/>
    <n v="0"/>
    <n v="8332.6299999999992"/>
    <n v="0"/>
    <n v="7999.32"/>
    <n v="131.99"/>
    <n v="607.94000000000005"/>
    <x v="0"/>
    <x v="0"/>
    <m/>
    <m/>
    <n v="0"/>
    <m/>
    <m/>
    <s v="'"/>
    <n v="8332.6299999999992"/>
  </r>
  <r>
    <x v="0"/>
    <s v="0009591"/>
    <s v="2"/>
    <s v="NFS"/>
    <s v="14963"/>
    <x v="97"/>
    <x v="6"/>
    <s v="610611"/>
    <x v="0"/>
    <s v="347447"/>
    <s v="'49921554000110"/>
    <s v="SAO PAULO"/>
    <x v="0"/>
    <x v="1"/>
    <s v="Uso autorizado"/>
    <s v="'42250206013812000581550020000095911198926732"/>
    <s v="Normal"/>
    <n v="22612.13"/>
    <n v="22612.13"/>
    <n v="0"/>
    <n v="0"/>
    <n v="0"/>
    <n v="904.49"/>
    <n v="0"/>
    <n v="0"/>
    <n v="0"/>
    <n v="22612.13"/>
    <n v="0"/>
    <n v="21707.64"/>
    <n v="358.19"/>
    <n v="1649.77"/>
    <x v="0"/>
    <x v="0"/>
    <m/>
    <m/>
    <n v="0"/>
    <m/>
    <m/>
    <s v="'"/>
    <n v="22612.13"/>
  </r>
  <r>
    <x v="0"/>
    <s v="0009592"/>
    <s v="2"/>
    <s v="NFS"/>
    <s v="37413"/>
    <x v="98"/>
    <x v="6"/>
    <s v="612305"/>
    <x v="1"/>
    <s v="347670"/>
    <s v="'46743446000107"/>
    <s v="SAO PAULO"/>
    <x v="0"/>
    <x v="1"/>
    <s v="Uso autorizado"/>
    <s v="'42250206013812000581550020000095921456061663"/>
    <s v="Normal"/>
    <n v="7859.55"/>
    <n v="7859.55"/>
    <n v="0"/>
    <n v="0"/>
    <n v="0"/>
    <n v="314.38"/>
    <n v="0"/>
    <n v="0"/>
    <n v="0"/>
    <n v="7859.55"/>
    <n v="0"/>
    <n v="7545.17"/>
    <n v="124.5"/>
    <n v="573.44000000000005"/>
    <x v="0"/>
    <x v="0"/>
    <n v="9593"/>
    <n v="2"/>
    <n v="37413"/>
    <s v="BEQUEST IND E COM DE ROUPAS LTDA"/>
    <d v="2025-02-10T00:00:00"/>
    <s v="'42250206013812000581550020000095931721347695"/>
    <n v="7859.55"/>
  </r>
  <r>
    <x v="0"/>
    <s v="0009593"/>
    <s v="2"/>
    <s v="NFS"/>
    <s v="36106"/>
    <x v="99"/>
    <x v="6"/>
    <s v="612302"/>
    <x v="2"/>
    <m/>
    <s v="'37103823000152"/>
    <s v="SANTA ISABEL"/>
    <x v="0"/>
    <x v="1"/>
    <s v="Uso autorizado"/>
    <s v="'42250206013812000581550020000095931721347695"/>
    <s v="Normal"/>
    <n v="7859.55"/>
    <n v="7859.55"/>
    <n v="0"/>
    <n v="0"/>
    <n v="0"/>
    <n v="0"/>
    <n v="0"/>
    <n v="7859.55"/>
    <n v="0"/>
    <n v="7859.55"/>
    <n v="0"/>
    <n v="0"/>
    <n v="0"/>
    <n v="0"/>
    <x v="0"/>
    <x v="1"/>
    <n v="9592"/>
    <n v="2"/>
    <n v="36106"/>
    <s v="37 103 823 ADRIANO COSTA PEREIRA"/>
    <d v="2025-02-10T00:00:00"/>
    <s v="'42250206013812000581550020000095921456061663"/>
    <n v="0"/>
  </r>
  <r>
    <x v="0"/>
    <s v="0009594"/>
    <s v="2"/>
    <s v="NFS"/>
    <s v="37672"/>
    <x v="100"/>
    <x v="6"/>
    <s v="510601"/>
    <x v="5"/>
    <s v="346861"/>
    <s v="'02809886000225"/>
    <s v="SCHROEDER"/>
    <x v="3"/>
    <x v="1"/>
    <s v="Uso autorizado"/>
    <s v="'42250206013812000581550020000095941262520675"/>
    <s v="Normal"/>
    <n v="32043.7"/>
    <n v="31519.4"/>
    <n v="0"/>
    <n v="0"/>
    <n v="0"/>
    <n v="1260.78"/>
    <n v="0"/>
    <n v="0"/>
    <n v="524.29999999999995"/>
    <n v="15386.9"/>
    <n v="0"/>
    <n v="30258.62"/>
    <n v="499.27"/>
    <n v="2299.66"/>
    <x v="0"/>
    <x v="0"/>
    <m/>
    <m/>
    <n v="0"/>
    <m/>
    <m/>
    <s v="'"/>
    <n v="31519.4"/>
  </r>
  <r>
    <x v="0"/>
    <s v="0009595"/>
    <s v="2"/>
    <s v="NFS"/>
    <s v="30399"/>
    <x v="101"/>
    <x v="6"/>
    <s v="610611"/>
    <x v="0"/>
    <s v="345784"/>
    <s v="'21831014000127"/>
    <s v="PORTO ALEGRE"/>
    <x v="7"/>
    <x v="1"/>
    <s v="Uso autorizado"/>
    <s v="'42250206013812000581550020000095951281518084"/>
    <s v="Normal"/>
    <n v="3089.56"/>
    <n v="3089.56"/>
    <n v="0"/>
    <n v="0"/>
    <n v="0"/>
    <n v="123.58"/>
    <n v="0"/>
    <n v="0"/>
    <n v="0"/>
    <n v="3089.56"/>
    <n v="0"/>
    <n v="2965.98"/>
    <n v="48.93"/>
    <n v="225.4"/>
    <x v="0"/>
    <x v="0"/>
    <m/>
    <m/>
    <n v="0"/>
    <m/>
    <m/>
    <s v="'"/>
    <n v="3089.56"/>
  </r>
  <r>
    <x v="0"/>
    <s v="0009596"/>
    <s v="2"/>
    <s v="NFS"/>
    <s v="39356"/>
    <x v="102"/>
    <x v="6"/>
    <s v="610611"/>
    <x v="0"/>
    <s v="345967"/>
    <s v="'29308985000107"/>
    <s v="PETROPOLIS"/>
    <x v="2"/>
    <x v="1"/>
    <s v="Uso autorizado"/>
    <s v="'42250206013812000581550020000095961060861158"/>
    <s v="Normal"/>
    <n v="12240.67"/>
    <n v="12240.67"/>
    <n v="0"/>
    <n v="0"/>
    <n v="0"/>
    <n v="489.63"/>
    <n v="0"/>
    <n v="0"/>
    <n v="0"/>
    <n v="12240.67"/>
    <n v="0"/>
    <n v="11751.04"/>
    <n v="193.89"/>
    <n v="893.08"/>
    <x v="0"/>
    <x v="0"/>
    <m/>
    <m/>
    <n v="0"/>
    <m/>
    <m/>
    <s v="'"/>
    <n v="12240.67"/>
  </r>
  <r>
    <x v="0"/>
    <s v="0009597"/>
    <s v="2"/>
    <s v="NFS"/>
    <s v="38284"/>
    <x v="11"/>
    <x v="6"/>
    <s v="59207i"/>
    <x v="6"/>
    <m/>
    <s v="'08248539000842"/>
    <s v="ITAJAI"/>
    <x v="3"/>
    <x v="1"/>
    <s v="Uso autorizado"/>
    <s v="'42250206013812000581550020000095971726054911"/>
    <s v="Normal"/>
    <n v="754.29"/>
    <n v="754.29"/>
    <n v="0"/>
    <n v="0"/>
    <n v="0"/>
    <n v="0"/>
    <n v="754.29"/>
    <n v="0"/>
    <n v="0"/>
    <n v="754.29"/>
    <n v="0"/>
    <n v="754.29"/>
    <n v="12.45"/>
    <n v="57.33"/>
    <x v="0"/>
    <x v="1"/>
    <m/>
    <m/>
    <n v="0"/>
    <m/>
    <m/>
    <s v="'"/>
    <n v="0"/>
  </r>
  <r>
    <x v="0"/>
    <s v="0009598"/>
    <s v="2"/>
    <s v="NFS"/>
    <s v="25508"/>
    <x v="93"/>
    <x v="6"/>
    <s v="610611"/>
    <x v="0"/>
    <s v="347761"/>
    <s v="'97532868000174"/>
    <s v="SAO PAULO"/>
    <x v="0"/>
    <x v="1"/>
    <s v="Uso autorizado"/>
    <s v="'42250206013812000581550020000095981136017241"/>
    <s v="Normal"/>
    <n v="1148.17"/>
    <n v="1148.17"/>
    <n v="0"/>
    <n v="0"/>
    <n v="0"/>
    <n v="45.93"/>
    <n v="0"/>
    <n v="0"/>
    <n v="0"/>
    <n v="1148.17"/>
    <n v="0"/>
    <n v="1102.24"/>
    <n v="18.18"/>
    <n v="83.78"/>
    <x v="0"/>
    <x v="0"/>
    <m/>
    <m/>
    <n v="0"/>
    <m/>
    <m/>
    <s v="'"/>
    <n v="1148.17"/>
  </r>
  <r>
    <x v="0"/>
    <s v="0009599"/>
    <s v="2"/>
    <s v="NFS"/>
    <s v="14963"/>
    <x v="97"/>
    <x v="6"/>
    <s v="69929m"/>
    <x v="7"/>
    <s v="346509"/>
    <s v="'49921554000110"/>
    <s v="SAO PAULO"/>
    <x v="0"/>
    <x v="1"/>
    <s v="Uso autorizado"/>
    <s v="'42250206013812000581550020000095991379514809"/>
    <s v="Normal"/>
    <n v="15"/>
    <n v="15"/>
    <n v="0"/>
    <n v="0"/>
    <n v="0"/>
    <n v="0.6"/>
    <n v="0"/>
    <n v="0"/>
    <n v="0"/>
    <n v="0"/>
    <n v="0"/>
    <n v="14.4"/>
    <n v="0.24"/>
    <n v="1.0900000000000001"/>
    <x v="0"/>
    <x v="1"/>
    <m/>
    <m/>
    <n v="0"/>
    <m/>
    <m/>
    <s v="'"/>
    <n v="15"/>
  </r>
  <r>
    <x v="0"/>
    <s v="0009600"/>
    <s v="2"/>
    <s v="NFS"/>
    <s v="36777"/>
    <x v="103"/>
    <x v="6"/>
    <s v="610611"/>
    <x v="0"/>
    <s v="347631"/>
    <s v="'26170412000163"/>
    <s v="DIVINOPOLIS"/>
    <x v="4"/>
    <x v="1"/>
    <s v="Uso autorizado"/>
    <s v="'42250206013812000581550020000096001899531450"/>
    <s v="Normal"/>
    <n v="1772.1"/>
    <n v="1772.1"/>
    <n v="0"/>
    <n v="0"/>
    <n v="0"/>
    <n v="70.88"/>
    <n v="0"/>
    <n v="0"/>
    <n v="0"/>
    <n v="1772.1"/>
    <n v="0"/>
    <n v="1701.22"/>
    <n v="28.07"/>
    <n v="129.30000000000001"/>
    <x v="0"/>
    <x v="0"/>
    <m/>
    <m/>
    <n v="0"/>
    <m/>
    <m/>
    <s v="'"/>
    <n v="1772.1"/>
  </r>
  <r>
    <x v="0"/>
    <s v="0009601"/>
    <s v="2"/>
    <s v="NFS"/>
    <s v="38131"/>
    <x v="104"/>
    <x v="6"/>
    <s v="610611"/>
    <x v="0"/>
    <s v="347556"/>
    <s v="'38934634000194"/>
    <s v="CAMPINAS"/>
    <x v="0"/>
    <x v="1"/>
    <s v="Uso autorizado"/>
    <s v="'42250206013812000581550020000096011237388153"/>
    <s v="Normal"/>
    <n v="59.93"/>
    <n v="31.9"/>
    <n v="0"/>
    <n v="0"/>
    <n v="28.03"/>
    <n v="2.4"/>
    <n v="0"/>
    <n v="0"/>
    <n v="0"/>
    <n v="31.9"/>
    <n v="0"/>
    <n v="57.53"/>
    <n v="0.95"/>
    <n v="4.37"/>
    <x v="0"/>
    <x v="0"/>
    <m/>
    <m/>
    <n v="0"/>
    <m/>
    <m/>
    <s v="'"/>
    <n v="59.93"/>
  </r>
  <r>
    <x v="0"/>
    <s v="0009602"/>
    <s v="2"/>
    <s v="NFS"/>
    <s v="31976"/>
    <x v="105"/>
    <x v="6"/>
    <s v="510601"/>
    <x v="5"/>
    <s v="347539"/>
    <s v="'17896169000174"/>
    <s v="BLUMENAU"/>
    <x v="3"/>
    <x v="1"/>
    <s v="Uso autorizado"/>
    <s v="'42250206013812000581550020000096021572576079"/>
    <s v="Normal"/>
    <n v="76.92"/>
    <n v="63.34"/>
    <n v="0"/>
    <n v="0"/>
    <n v="11.16"/>
    <n v="2.98"/>
    <n v="0"/>
    <n v="0"/>
    <n v="2.42"/>
    <n v="0"/>
    <n v="0"/>
    <n v="71.52"/>
    <n v="1.18"/>
    <n v="5.44"/>
    <x v="0"/>
    <x v="0"/>
    <m/>
    <m/>
    <n v="0"/>
    <m/>
    <m/>
    <s v="'"/>
    <n v="74.5"/>
  </r>
  <r>
    <x v="0"/>
    <s v="0009603"/>
    <s v="2"/>
    <s v="NFS"/>
    <s v="38708"/>
    <x v="106"/>
    <x v="6"/>
    <s v="610611"/>
    <x v="0"/>
    <s v="347589"/>
    <s v="'35069182000131"/>
    <s v="SAO PAULO"/>
    <x v="0"/>
    <x v="1"/>
    <s v="Uso autorizado"/>
    <s v="'42250206013812000581550020000096031500894209"/>
    <s v="Normal"/>
    <n v="41332.89"/>
    <n v="41332.89"/>
    <n v="0"/>
    <n v="0"/>
    <n v="0"/>
    <n v="1653.32"/>
    <n v="0"/>
    <n v="0"/>
    <n v="0"/>
    <n v="41332.89"/>
    <n v="0"/>
    <n v="39679.57"/>
    <n v="654.71"/>
    <n v="3015.65"/>
    <x v="0"/>
    <x v="0"/>
    <m/>
    <m/>
    <n v="0"/>
    <m/>
    <m/>
    <s v="'"/>
    <n v="41332.89"/>
  </r>
  <r>
    <x v="0"/>
    <s v="0009604"/>
    <s v="2"/>
    <s v="NFS"/>
    <s v="14963"/>
    <x v="97"/>
    <x v="6"/>
    <s v="69929m"/>
    <x v="7"/>
    <s v="346995"/>
    <s v="'49921554000110"/>
    <s v="SAO PAULO"/>
    <x v="0"/>
    <x v="1"/>
    <s v="Uso autorizado"/>
    <s v="'42250206013812000581550020000096041223715744"/>
    <s v="Normal"/>
    <n v="10.32"/>
    <n v="10"/>
    <n v="0"/>
    <n v="0"/>
    <n v="0"/>
    <n v="0.4"/>
    <n v="0"/>
    <n v="0"/>
    <n v="0.32"/>
    <n v="0"/>
    <n v="0"/>
    <n v="9.6"/>
    <n v="0.16"/>
    <n v="0.73"/>
    <x v="0"/>
    <x v="1"/>
    <m/>
    <m/>
    <n v="0"/>
    <m/>
    <m/>
    <s v="'"/>
    <n v="10"/>
  </r>
  <r>
    <x v="0"/>
    <s v="0009605"/>
    <s v="2"/>
    <s v="NFS"/>
    <s v="28250"/>
    <x v="107"/>
    <x v="6"/>
    <s v="610610"/>
    <x v="0"/>
    <s v="347550"/>
    <s v="'04041445000170"/>
    <s v="FORTALEZA"/>
    <x v="9"/>
    <x v="1"/>
    <s v="Uso autorizado"/>
    <s v="'42250206013812000581550020000096051179829724"/>
    <s v="Normal"/>
    <n v="9470.99"/>
    <n v="9281.91"/>
    <n v="0"/>
    <n v="0"/>
    <n v="189.08"/>
    <n v="378.84"/>
    <n v="0"/>
    <n v="0"/>
    <n v="0"/>
    <n v="9470.99"/>
    <n v="0"/>
    <n v="9092.15"/>
    <n v="150.01"/>
    <n v="690.99"/>
    <x v="0"/>
    <x v="0"/>
    <m/>
    <m/>
    <n v="0"/>
    <m/>
    <m/>
    <s v="'"/>
    <n v="9470.99"/>
  </r>
  <r>
    <x v="0"/>
    <s v="0009606"/>
    <s v="2"/>
    <s v="NFS"/>
    <s v="14488"/>
    <x v="108"/>
    <x v="6"/>
    <s v="610610"/>
    <x v="0"/>
    <s v="347614"/>
    <s v="'04917296000594"/>
    <s v="RECIFE"/>
    <x v="1"/>
    <x v="1"/>
    <s v="Uso autorizado"/>
    <s v="'42250206013812000581550020000096061280148033"/>
    <s v="Normal"/>
    <n v="6389.21"/>
    <n v="6273.31"/>
    <n v="0"/>
    <n v="0"/>
    <n v="115.9"/>
    <n v="255.57"/>
    <n v="0"/>
    <n v="0"/>
    <n v="0"/>
    <n v="6389.21"/>
    <n v="0"/>
    <n v="6133.64"/>
    <n v="101.21"/>
    <n v="466.16"/>
    <x v="0"/>
    <x v="0"/>
    <m/>
    <m/>
    <n v="0"/>
    <m/>
    <m/>
    <s v="'"/>
    <n v="6389.21"/>
  </r>
  <r>
    <x v="0"/>
    <s v="0009607"/>
    <s v="2"/>
    <s v="NFS"/>
    <s v="38978"/>
    <x v="54"/>
    <x v="6"/>
    <s v="510603"/>
    <x v="5"/>
    <s v="347687"/>
    <s v="'50709945000155"/>
    <s v="BALNEARIO CAMBORIU"/>
    <x v="3"/>
    <x v="1"/>
    <s v="Uso autorizado"/>
    <s v="'42250206013812000581550020000096071910887163"/>
    <s v="Normal"/>
    <n v="3996"/>
    <n v="3996"/>
    <n v="0"/>
    <n v="0"/>
    <n v="0"/>
    <n v="479.52"/>
    <n v="0"/>
    <n v="0"/>
    <n v="0"/>
    <n v="3996"/>
    <n v="0"/>
    <n v="3516.48"/>
    <n v="58.02"/>
    <n v="267.25"/>
    <x v="0"/>
    <x v="0"/>
    <m/>
    <m/>
    <n v="0"/>
    <m/>
    <m/>
    <s v="'"/>
    <n v="3996"/>
  </r>
  <r>
    <x v="0"/>
    <s v="0009608"/>
    <s v="2"/>
    <s v="NFS"/>
    <s v="25382"/>
    <x v="109"/>
    <x v="6"/>
    <s v="610611"/>
    <x v="0"/>
    <s v="347638"/>
    <s v="'11344966000162"/>
    <s v="SAO PAULO"/>
    <x v="0"/>
    <x v="1"/>
    <s v="Uso autorizado"/>
    <s v="'42250206013812000581550020000096081134331788"/>
    <s v="Normal"/>
    <n v="39"/>
    <n v="39"/>
    <n v="0"/>
    <n v="0"/>
    <n v="0"/>
    <n v="1.56"/>
    <n v="0"/>
    <n v="0"/>
    <n v="0"/>
    <n v="39"/>
    <n v="0"/>
    <n v="37.44"/>
    <n v="0.62"/>
    <n v="2.85"/>
    <x v="0"/>
    <x v="0"/>
    <m/>
    <m/>
    <n v="0"/>
    <m/>
    <m/>
    <s v="'"/>
    <n v="39"/>
  </r>
  <r>
    <x v="0"/>
    <s v="0009609"/>
    <s v="2"/>
    <s v="NFS"/>
    <s v="25417"/>
    <x v="110"/>
    <x v="6"/>
    <s v="510603"/>
    <x v="5"/>
    <s v="346846"/>
    <s v="'00200488000109"/>
    <s v="TIMBO"/>
    <x v="3"/>
    <x v="1"/>
    <s v="Uso autorizado"/>
    <s v="'42250206013812000581550020000096091602176015"/>
    <s v="Normal"/>
    <n v="97.5"/>
    <n v="97.5"/>
    <n v="0"/>
    <n v="0"/>
    <n v="0"/>
    <n v="11.7"/>
    <n v="0"/>
    <n v="0"/>
    <n v="0"/>
    <n v="97.5"/>
    <n v="0"/>
    <n v="85.8"/>
    <n v="1.42"/>
    <n v="6.52"/>
    <x v="0"/>
    <x v="0"/>
    <m/>
    <m/>
    <n v="0"/>
    <m/>
    <m/>
    <s v="'"/>
    <n v="97.5"/>
  </r>
  <r>
    <x v="0"/>
    <s v="0009610"/>
    <s v="2"/>
    <s v="NFS"/>
    <s v="39056"/>
    <x v="111"/>
    <x v="6"/>
    <s v="510602"/>
    <x v="5"/>
    <s v="347642"/>
    <s v="'01676601000181"/>
    <s v="JARAGUA DO SUL"/>
    <x v="3"/>
    <x v="1"/>
    <s v="Uso autorizado"/>
    <s v="'42250206013812000581550020000096101869191452"/>
    <s v="Normal"/>
    <n v="2742.45"/>
    <n v="2742.45"/>
    <n v="0"/>
    <n v="0"/>
    <n v="0"/>
    <n v="274.25"/>
    <n v="0"/>
    <n v="0"/>
    <n v="0"/>
    <n v="2742.45"/>
    <n v="0"/>
    <n v="2468.1999999999998"/>
    <n v="40.729999999999997"/>
    <n v="187.58"/>
    <x v="0"/>
    <x v="0"/>
    <m/>
    <m/>
    <n v="0"/>
    <m/>
    <m/>
    <s v="'"/>
    <n v="2742.45"/>
  </r>
  <r>
    <x v="0"/>
    <s v="0009611"/>
    <s v="2"/>
    <s v="NFS"/>
    <s v="6868"/>
    <x v="112"/>
    <x v="6"/>
    <s v="510601"/>
    <x v="5"/>
    <s v="347243"/>
    <s v="'73258386000100"/>
    <s v="BLUMENAU"/>
    <x v="3"/>
    <x v="1"/>
    <s v="Uso autorizado"/>
    <s v="'42250206013812000581550020000096111089512389"/>
    <s v="Normal"/>
    <n v="38.909999999999997"/>
    <n v="28.49"/>
    <n v="0"/>
    <n v="0"/>
    <n v="10.42"/>
    <n v="1.56"/>
    <n v="0"/>
    <n v="0"/>
    <n v="0"/>
    <n v="38.909999999999997"/>
    <n v="0"/>
    <n v="37.35"/>
    <n v="0.62"/>
    <n v="2.84"/>
    <x v="0"/>
    <x v="0"/>
    <m/>
    <m/>
    <n v="0"/>
    <m/>
    <m/>
    <s v="'"/>
    <n v="38.909999999999997"/>
  </r>
  <r>
    <x v="0"/>
    <s v="0009612"/>
    <s v="2"/>
    <s v="NFS"/>
    <s v="33643"/>
    <x v="113"/>
    <x v="6"/>
    <s v="610611"/>
    <x v="0"/>
    <s v="347692"/>
    <s v="'49503790000117"/>
    <s v="SAO PAULO"/>
    <x v="0"/>
    <x v="1"/>
    <s v="Uso autorizado"/>
    <s v="'42250206013812000581550020000096121638061167"/>
    <s v="Normal"/>
    <n v="27682.799999999999"/>
    <n v="27682.799999999999"/>
    <n v="0"/>
    <n v="0"/>
    <n v="0"/>
    <n v="1107.31"/>
    <n v="0"/>
    <n v="0"/>
    <n v="0"/>
    <n v="27682.799999999999"/>
    <n v="0"/>
    <n v="26575.49"/>
    <n v="438.5"/>
    <n v="2019.74"/>
    <x v="0"/>
    <x v="0"/>
    <m/>
    <m/>
    <n v="0"/>
    <m/>
    <m/>
    <s v="'"/>
    <n v="27682.799999999999"/>
  </r>
  <r>
    <x v="0"/>
    <s v="0009613"/>
    <s v="2"/>
    <s v="NFS"/>
    <s v="33122"/>
    <x v="114"/>
    <x v="6"/>
    <s v="610611"/>
    <x v="0"/>
    <s v="347079"/>
    <s v="'27991161000140"/>
    <s v="PORTO ALEGRE"/>
    <x v="7"/>
    <x v="1"/>
    <s v="Uso autorizado"/>
    <s v="'42250206013812000581550020000096131461114810"/>
    <s v="Normal"/>
    <n v="160.35"/>
    <n v="117.1"/>
    <n v="0"/>
    <n v="0"/>
    <n v="39.450000000000003"/>
    <n v="6.26"/>
    <n v="0"/>
    <n v="0"/>
    <n v="3.8"/>
    <n v="0"/>
    <n v="0"/>
    <n v="150.29"/>
    <n v="2.48"/>
    <n v="11.42"/>
    <x v="0"/>
    <x v="0"/>
    <m/>
    <m/>
    <n v="0"/>
    <m/>
    <m/>
    <s v="'"/>
    <n v="156.55000000000001"/>
  </r>
  <r>
    <x v="0"/>
    <s v="0009614"/>
    <s v="2"/>
    <s v="NFS"/>
    <s v="33540"/>
    <x v="115"/>
    <x v="6"/>
    <s v="610610"/>
    <x v="0"/>
    <s v="347714"/>
    <s v="'20802117000104"/>
    <s v="PARAUAPEBAS"/>
    <x v="14"/>
    <x v="1"/>
    <s v="Uso autorizado"/>
    <s v="'42250206013812000581550020000096141951111989"/>
    <s v="Normal"/>
    <n v="7741.51"/>
    <n v="7741.51"/>
    <n v="0"/>
    <n v="0"/>
    <n v="0"/>
    <n v="309.66000000000003"/>
    <n v="0"/>
    <n v="0"/>
    <n v="0"/>
    <n v="7741.51"/>
    <n v="0"/>
    <n v="7431.85"/>
    <n v="122.62"/>
    <n v="564.82000000000005"/>
    <x v="0"/>
    <x v="0"/>
    <m/>
    <m/>
    <n v="0"/>
    <m/>
    <m/>
    <s v="'"/>
    <n v="7741.51"/>
  </r>
  <r>
    <x v="0"/>
    <s v="0009615"/>
    <s v="2"/>
    <s v="NFS"/>
    <s v="37423"/>
    <x v="116"/>
    <x v="6"/>
    <s v="610611"/>
    <x v="0"/>
    <s v="347679"/>
    <s v="'30040644000174"/>
    <s v="CERQUILHO"/>
    <x v="0"/>
    <x v="1"/>
    <s v="Uso autorizado"/>
    <s v="'42250206013812000581550020000096151044687855"/>
    <s v="Normal"/>
    <n v="411.53"/>
    <n v="356.8"/>
    <n v="0"/>
    <n v="0"/>
    <n v="54.73"/>
    <n v="16.46"/>
    <n v="0"/>
    <n v="0"/>
    <n v="0"/>
    <n v="356.8"/>
    <n v="0"/>
    <n v="395.07"/>
    <n v="6.51"/>
    <n v="30.03"/>
    <x v="0"/>
    <x v="0"/>
    <m/>
    <m/>
    <n v="0"/>
    <m/>
    <m/>
    <s v="'"/>
    <n v="411.53"/>
  </r>
  <r>
    <x v="0"/>
    <s v="0009616"/>
    <s v="2"/>
    <s v="NFS"/>
    <s v="30716"/>
    <x v="117"/>
    <x v="6"/>
    <s v="510601"/>
    <x v="5"/>
    <s v="347763"/>
    <s v="'09338620000100"/>
    <s v="AURORA"/>
    <x v="3"/>
    <x v="1"/>
    <s v="Uso autorizado"/>
    <s v="'42250206013812000581550020000096161412506159"/>
    <s v="Normal"/>
    <n v="4873.05"/>
    <n v="4873.05"/>
    <n v="0"/>
    <n v="0"/>
    <n v="0"/>
    <n v="194.92"/>
    <n v="0"/>
    <n v="0"/>
    <n v="0"/>
    <n v="4873.05"/>
    <n v="0"/>
    <n v="4678.13"/>
    <n v="77.19"/>
    <n v="355.54"/>
    <x v="0"/>
    <x v="0"/>
    <m/>
    <m/>
    <n v="0"/>
    <m/>
    <m/>
    <s v="'"/>
    <n v="4873.05"/>
  </r>
  <r>
    <x v="0"/>
    <s v="0009617"/>
    <s v="2"/>
    <s v="NFS"/>
    <s v="35245"/>
    <x v="118"/>
    <x v="6"/>
    <s v="610610"/>
    <x v="0"/>
    <s v="347382"/>
    <s v="'15423966000109"/>
    <s v="FORTALEZA"/>
    <x v="9"/>
    <x v="1"/>
    <s v="Uso autorizado"/>
    <s v="'42250206013812000581550020000096171875147223"/>
    <s v="Normal"/>
    <n v="5567.82"/>
    <n v="5288.08"/>
    <n v="0"/>
    <n v="0"/>
    <n v="105.76"/>
    <n v="215.75"/>
    <n v="0"/>
    <n v="0"/>
    <n v="173.98"/>
    <n v="40.58"/>
    <n v="0"/>
    <n v="5178.09"/>
    <n v="85.44"/>
    <n v="393.54"/>
    <x v="0"/>
    <x v="0"/>
    <m/>
    <m/>
    <n v="0"/>
    <m/>
    <m/>
    <s v="'"/>
    <n v="5393.84"/>
  </r>
  <r>
    <x v="0"/>
    <s v="0009618"/>
    <s v="2"/>
    <s v="NFS"/>
    <s v="35851"/>
    <x v="119"/>
    <x v="6"/>
    <s v="610611"/>
    <x v="0"/>
    <s v="347674"/>
    <s v="'32168100000380"/>
    <s v="RIO DE JANEIRO"/>
    <x v="2"/>
    <x v="0"/>
    <s v="Documento Cancelado"/>
    <s v="'42250206013812000581550020000096181974507365"/>
    <s v="Normal"/>
    <n v="20724.599999999999"/>
    <n v="20724.599999999999"/>
    <n v="0"/>
    <n v="0"/>
    <n v="0"/>
    <n v="828.98"/>
    <n v="0"/>
    <n v="0"/>
    <n v="0"/>
    <n v="20724.599999999999"/>
    <n v="0"/>
    <n v="19895.62"/>
    <n v="328.27"/>
    <n v="1512.06"/>
    <x v="0"/>
    <x v="0"/>
    <m/>
    <m/>
    <n v="0"/>
    <m/>
    <m/>
    <s v="'"/>
    <n v="20724.599999999999"/>
  </r>
  <r>
    <x v="0"/>
    <s v="0009619"/>
    <s v="2"/>
    <s v="NFE"/>
    <s v="22070"/>
    <x v="120"/>
    <x v="6"/>
    <s v="31206"/>
    <x v="9"/>
    <s v=" "/>
    <s v="'"/>
    <s v="ZHEJIANG"/>
    <x v="10"/>
    <x v="1"/>
    <s v="Uso autorizado"/>
    <s v="'42250206013812000581550020000096191420801611"/>
    <s v="Normal"/>
    <n v="-767724.92"/>
    <n v="-524748.13"/>
    <n v="-553.55999999999995"/>
    <n v="-213610.94"/>
    <n v="-28812.29"/>
    <n v="0"/>
    <n v="-767724.92"/>
    <n v="0"/>
    <n v="0"/>
    <n v="-698183.62"/>
    <n v="0"/>
    <n v="-554113.98"/>
    <n v="-11636.39"/>
    <n v="-53472.02"/>
    <x v="0"/>
    <x v="1"/>
    <m/>
    <m/>
    <n v="0"/>
    <m/>
    <m/>
    <s v="'"/>
    <n v="0"/>
  </r>
  <r>
    <x v="0"/>
    <s v="0009620"/>
    <s v="2"/>
    <s v="NFS"/>
    <s v="38284"/>
    <x v="11"/>
    <x v="6"/>
    <s v="59207i"/>
    <x v="6"/>
    <m/>
    <s v="'08248539000842"/>
    <s v="ITAJAI"/>
    <x v="3"/>
    <x v="1"/>
    <s v="Uso autorizado"/>
    <s v="'42250206013812000581550020000096201925489152"/>
    <s v="Normal"/>
    <n v="524748.13"/>
    <n v="524748.13"/>
    <n v="0"/>
    <n v="0"/>
    <n v="0"/>
    <n v="0"/>
    <n v="524748.13"/>
    <n v="0"/>
    <n v="0"/>
    <n v="524748.13"/>
    <n v="0"/>
    <n v="524748.13"/>
    <n v="8658.35"/>
    <n v="39880.85"/>
    <x v="0"/>
    <x v="1"/>
    <m/>
    <m/>
    <n v="0"/>
    <m/>
    <m/>
    <s v="'"/>
    <n v="0"/>
  </r>
  <r>
    <x v="0"/>
    <s v="0009621"/>
    <s v="2"/>
    <s v="NFS"/>
    <s v="38032"/>
    <x v="121"/>
    <x v="6"/>
    <s v="510603"/>
    <x v="5"/>
    <s v="347403"/>
    <s v="'08621596000159"/>
    <s v="RIO DO SUL"/>
    <x v="3"/>
    <x v="1"/>
    <s v="Uso autorizado"/>
    <s v="'42250206013812000581550020000096211258771579"/>
    <s v="Normal"/>
    <n v="189.28"/>
    <n v="165.06"/>
    <n v="0"/>
    <n v="0"/>
    <n v="24.22"/>
    <n v="22.71"/>
    <n v="0"/>
    <n v="0"/>
    <n v="0"/>
    <n v="189.28"/>
    <n v="0"/>
    <n v="166.57"/>
    <n v="2.74"/>
    <n v="12.66"/>
    <x v="0"/>
    <x v="0"/>
    <m/>
    <m/>
    <n v="0"/>
    <m/>
    <m/>
    <s v="'"/>
    <n v="189.28"/>
  </r>
  <r>
    <x v="0"/>
    <s v="0009622"/>
    <s v="2"/>
    <s v="NFS"/>
    <s v="38156"/>
    <x v="122"/>
    <x v="6"/>
    <s v="610611"/>
    <x v="0"/>
    <s v="347719"/>
    <s v="'22759307000103"/>
    <s v="SAO PAULO"/>
    <x v="0"/>
    <x v="1"/>
    <s v="Uso autorizado"/>
    <s v="'42250206013812000581550020000096221813062054"/>
    <s v="Normal"/>
    <n v="7404.16"/>
    <n v="7404.16"/>
    <n v="0"/>
    <n v="0"/>
    <n v="0"/>
    <n v="296.17"/>
    <n v="0"/>
    <n v="0"/>
    <n v="0"/>
    <n v="7404.16"/>
    <n v="0"/>
    <n v="7107.99"/>
    <n v="117.29"/>
    <n v="540.21"/>
    <x v="0"/>
    <x v="0"/>
    <m/>
    <m/>
    <n v="0"/>
    <m/>
    <m/>
    <s v="'"/>
    <n v="7404.16"/>
  </r>
  <r>
    <x v="0"/>
    <s v="0009623"/>
    <s v="2"/>
    <s v="NFS"/>
    <s v="28969"/>
    <x v="123"/>
    <x v="6"/>
    <s v="610611"/>
    <x v="0"/>
    <s v="347696"/>
    <s v="'60785672000181"/>
    <s v="SAO PAULO"/>
    <x v="0"/>
    <x v="1"/>
    <s v="Uso autorizado"/>
    <s v="'42250206013812000581550020000096231561017162"/>
    <s v="Normal"/>
    <n v="2456.25"/>
    <n v="2456.25"/>
    <n v="0"/>
    <n v="0"/>
    <n v="0"/>
    <n v="98.25"/>
    <n v="0"/>
    <n v="0"/>
    <n v="0"/>
    <n v="2456.25"/>
    <n v="0"/>
    <n v="2358"/>
    <n v="38.909999999999997"/>
    <n v="179.21"/>
    <x v="0"/>
    <x v="0"/>
    <m/>
    <m/>
    <n v="0"/>
    <m/>
    <m/>
    <s v="'"/>
    <n v="2456.25"/>
  </r>
  <r>
    <x v="0"/>
    <s v="0009624"/>
    <s v="2"/>
    <s v="NFS"/>
    <s v="30158"/>
    <x v="124"/>
    <x v="6"/>
    <s v="610611"/>
    <x v="0"/>
    <s v="347746"/>
    <s v="'07535210000123"/>
    <s v="MIRASSOL"/>
    <x v="0"/>
    <x v="1"/>
    <s v="Uso autorizado"/>
    <s v="'42250206013812000581550020000096241544748372"/>
    <s v="Normal"/>
    <n v="5245.5"/>
    <n v="5245.5"/>
    <n v="0"/>
    <n v="0"/>
    <n v="0"/>
    <n v="209.82"/>
    <n v="0"/>
    <n v="0"/>
    <n v="0"/>
    <n v="5245.5"/>
    <n v="0"/>
    <n v="5035.68"/>
    <n v="83.09"/>
    <n v="382.71"/>
    <x v="0"/>
    <x v="0"/>
    <m/>
    <m/>
    <n v="0"/>
    <m/>
    <m/>
    <s v="'"/>
    <n v="5245.5"/>
  </r>
  <r>
    <x v="0"/>
    <s v="0009625"/>
    <s v="2"/>
    <s v="NFE"/>
    <s v="22070"/>
    <x v="120"/>
    <x v="7"/>
    <s v="31207"/>
    <x v="9"/>
    <s v=" "/>
    <s v="'"/>
    <s v="ZHEJIANG"/>
    <x v="10"/>
    <x v="1"/>
    <s v="Uso autorizado"/>
    <s v="'42250206013812000581550020000096251935436996"/>
    <s v="Normal"/>
    <n v="-17139.82"/>
    <n v="-17139.82"/>
    <n v="0"/>
    <n v="0"/>
    <n v="0"/>
    <n v="0"/>
    <n v="-8947.89"/>
    <n v="0"/>
    <n v="0"/>
    <n v="-17139.82"/>
    <n v="0"/>
    <n v="0"/>
    <n v="0"/>
    <n v="0"/>
    <x v="0"/>
    <x v="1"/>
    <m/>
    <m/>
    <n v="0"/>
    <m/>
    <m/>
    <s v="'"/>
    <n v="0"/>
  </r>
  <r>
    <x v="0"/>
    <s v="0009626"/>
    <s v="2"/>
    <s v="NFS"/>
    <s v="2010"/>
    <x v="125"/>
    <x v="7"/>
    <s v="610611"/>
    <x v="0"/>
    <s v="347697"/>
    <s v="'36076206000142"/>
    <s v="RIO DE JANEIRO"/>
    <x v="2"/>
    <x v="1"/>
    <s v="Uso autorizado"/>
    <s v="'42250206013812000581550020000096261745687197"/>
    <s v="Normal"/>
    <n v="4932.49"/>
    <n v="4932.49"/>
    <n v="0"/>
    <n v="0"/>
    <n v="0"/>
    <n v="197.3"/>
    <n v="0"/>
    <n v="0"/>
    <n v="0"/>
    <n v="4932.49"/>
    <n v="0"/>
    <n v="4735.1899999999996"/>
    <n v="78.13"/>
    <n v="359.87"/>
    <x v="0"/>
    <x v="0"/>
    <m/>
    <m/>
    <n v="0"/>
    <m/>
    <m/>
    <s v="'"/>
    <n v="4932.49"/>
  </r>
  <r>
    <x v="0"/>
    <s v="0009627"/>
    <s v="2"/>
    <s v="NFS"/>
    <s v="40270"/>
    <x v="126"/>
    <x v="7"/>
    <s v="610611"/>
    <x v="0"/>
    <s v="347691"/>
    <s v="'23488094000195"/>
    <s v="GUARULHOS"/>
    <x v="0"/>
    <x v="1"/>
    <s v="Uso autorizado"/>
    <s v="'42250206013812000581550020000096271311711877"/>
    <s v="Normal"/>
    <n v="4804.0200000000004"/>
    <n v="4804.0200000000004"/>
    <n v="0"/>
    <n v="0"/>
    <n v="0"/>
    <n v="192.16"/>
    <n v="0"/>
    <n v="0"/>
    <n v="0"/>
    <n v="4804.0200000000004"/>
    <n v="0"/>
    <n v="4611.8599999999997"/>
    <n v="76.09"/>
    <n v="350.51"/>
    <x v="0"/>
    <x v="0"/>
    <m/>
    <m/>
    <n v="0"/>
    <m/>
    <m/>
    <s v="'"/>
    <n v="4804.0200000000004"/>
  </r>
  <r>
    <x v="0"/>
    <s v="0009628"/>
    <s v="2"/>
    <s v="NFS"/>
    <s v="23653"/>
    <x v="127"/>
    <x v="7"/>
    <s v="510601"/>
    <x v="5"/>
    <s v="346444"/>
    <s v="'79525242000159"/>
    <s v="BLUMENAU"/>
    <x v="3"/>
    <x v="1"/>
    <s v="Uso autorizado"/>
    <s v="'42250206013812000581550020000096281643251610"/>
    <s v="Normal"/>
    <n v="21366.54"/>
    <n v="21366.54"/>
    <n v="0"/>
    <n v="0"/>
    <n v="0"/>
    <n v="854.66"/>
    <n v="0"/>
    <n v="0"/>
    <n v="0"/>
    <n v="21366.54"/>
    <n v="0"/>
    <n v="20511.88"/>
    <n v="338.45"/>
    <n v="1558.9"/>
    <x v="0"/>
    <x v="0"/>
    <m/>
    <m/>
    <n v="0"/>
    <m/>
    <m/>
    <s v="'"/>
    <n v="21366.54"/>
  </r>
  <r>
    <x v="0"/>
    <s v="0009629"/>
    <s v="2"/>
    <s v="NFS"/>
    <s v="23653"/>
    <x v="127"/>
    <x v="7"/>
    <s v="510601"/>
    <x v="5"/>
    <s v="347743"/>
    <s v="'79525242000159"/>
    <s v="BLUMENAU"/>
    <x v="3"/>
    <x v="1"/>
    <s v="Uso autorizado"/>
    <s v="'42250206013812000581550020000096291582385520"/>
    <s v="Normal"/>
    <n v="2508"/>
    <n v="2508"/>
    <n v="0"/>
    <n v="0"/>
    <n v="0"/>
    <n v="100.32"/>
    <n v="0"/>
    <n v="0"/>
    <n v="0"/>
    <n v="2508"/>
    <n v="0"/>
    <n v="2407.6799999999998"/>
    <n v="39.729999999999997"/>
    <n v="182.98"/>
    <x v="0"/>
    <x v="0"/>
    <m/>
    <m/>
    <n v="0"/>
    <m/>
    <m/>
    <s v="'"/>
    <n v="2508"/>
  </r>
  <r>
    <x v="0"/>
    <s v="0009630"/>
    <s v="2"/>
    <s v="NFS"/>
    <s v="31306"/>
    <x v="128"/>
    <x v="7"/>
    <s v="610610"/>
    <x v="0"/>
    <s v="347736"/>
    <s v="'18607350000186"/>
    <s v="SALVADOR"/>
    <x v="8"/>
    <x v="1"/>
    <s v="Uso autorizado"/>
    <s v="'42250206013812000581550020000096301855131099"/>
    <s v="Normal"/>
    <n v="13469.32"/>
    <n v="13206.92"/>
    <n v="0"/>
    <n v="0"/>
    <n v="262.39999999999998"/>
    <n v="538.77"/>
    <n v="0"/>
    <n v="0"/>
    <n v="0"/>
    <n v="13469.32"/>
    <n v="0"/>
    <n v="12930.55"/>
    <n v="213.35"/>
    <n v="982.72"/>
    <x v="0"/>
    <x v="0"/>
    <m/>
    <m/>
    <n v="0"/>
    <m/>
    <m/>
    <s v="'"/>
    <n v="13469.32"/>
  </r>
  <r>
    <x v="0"/>
    <s v="0009631"/>
    <s v="2"/>
    <s v="NFS"/>
    <s v="28128"/>
    <x v="129"/>
    <x v="7"/>
    <s v="510603"/>
    <x v="5"/>
    <s v="347794"/>
    <s v="'10617324000127"/>
    <s v="SOMBRIO"/>
    <x v="3"/>
    <x v="1"/>
    <s v="Uso autorizado"/>
    <s v="'42250206013812000581550020000096311212859941"/>
    <s v="Normal"/>
    <n v="1369.3"/>
    <n v="1326.2"/>
    <n v="0"/>
    <n v="0"/>
    <n v="0"/>
    <n v="159.13999999999999"/>
    <n v="0"/>
    <n v="0"/>
    <n v="43.1"/>
    <n v="0"/>
    <n v="0"/>
    <n v="1167.06"/>
    <n v="19.260000000000002"/>
    <n v="88.7"/>
    <x v="0"/>
    <x v="0"/>
    <m/>
    <m/>
    <n v="0"/>
    <m/>
    <m/>
    <s v="'"/>
    <n v="1326.2"/>
  </r>
  <r>
    <x v="0"/>
    <s v="0009632"/>
    <s v="2"/>
    <s v="NFS"/>
    <s v="34168"/>
    <x v="130"/>
    <x v="8"/>
    <s v="610611"/>
    <x v="0"/>
    <s v="347553"/>
    <s v="'36462828000109"/>
    <s v="TERESOPOLIS"/>
    <x v="2"/>
    <x v="1"/>
    <s v="Uso autorizado"/>
    <s v="'42250206013812000581550020000096321282827337"/>
    <s v="Normal"/>
    <n v="5386.18"/>
    <n v="5386.18"/>
    <n v="0"/>
    <n v="0"/>
    <n v="0"/>
    <n v="215.45"/>
    <n v="0"/>
    <n v="0"/>
    <n v="0"/>
    <n v="5386.18"/>
    <n v="0"/>
    <n v="5170.7299999999996"/>
    <n v="85.31"/>
    <n v="392.98"/>
    <x v="0"/>
    <x v="0"/>
    <m/>
    <m/>
    <n v="0"/>
    <m/>
    <m/>
    <s v="'"/>
    <n v="5386.18"/>
  </r>
  <r>
    <x v="0"/>
    <s v="0009633"/>
    <s v="2"/>
    <s v="NFS"/>
    <s v="31666"/>
    <x v="131"/>
    <x v="8"/>
    <s v="612303"/>
    <x v="3"/>
    <s v="347441"/>
    <s v="'16947332000118"/>
    <s v="MARINGA"/>
    <x v="5"/>
    <x v="1"/>
    <s v="Uso autorizado"/>
    <s v="'42250206013812000581550020000096331190302260"/>
    <s v="Normal"/>
    <n v="1404.2"/>
    <n v="1260"/>
    <n v="0"/>
    <n v="0"/>
    <n v="100"/>
    <n v="54.4"/>
    <n v="0"/>
    <n v="0"/>
    <n v="44.2"/>
    <n v="0"/>
    <n v="0"/>
    <n v="1305.5999999999999"/>
    <n v="21.54"/>
    <n v="99.23"/>
    <x v="0"/>
    <x v="0"/>
    <n v="9634"/>
    <n v="2"/>
    <n v="31666"/>
    <s v="MB&amp;O BRANDS IND E COM DE CONFECCOES LTDA EM RECUPERACAO JUDICIAL"/>
    <d v="2025-02-12T00:00:00"/>
    <s v="'42250206013812000581550020000096341789143313"/>
    <n v="1360"/>
  </r>
  <r>
    <x v="0"/>
    <s v="0009634"/>
    <s v="2"/>
    <s v="NFS"/>
    <s v="35744"/>
    <x v="132"/>
    <x v="8"/>
    <s v="612304"/>
    <x v="4"/>
    <m/>
    <s v="'10896874000122"/>
    <s v="MARINGA"/>
    <x v="5"/>
    <x v="1"/>
    <s v="Uso autorizado"/>
    <s v="'42250206013812000581550020000096341789143313"/>
    <s v="Normal"/>
    <n v="1360"/>
    <n v="1260"/>
    <n v="0"/>
    <n v="0"/>
    <n v="0"/>
    <n v="0"/>
    <n v="1360"/>
    <n v="0"/>
    <n v="0"/>
    <n v="1360"/>
    <n v="0"/>
    <n v="0"/>
    <n v="0"/>
    <n v="0"/>
    <x v="0"/>
    <x v="1"/>
    <n v="9633"/>
    <n v="2"/>
    <n v="35744"/>
    <s v="P M G PREVIATO IND E COMERCIO CONFECCOES LTDA"/>
    <d v="2025-02-12T00:00:00"/>
    <s v="'42250206013812000581550020000096331190302260"/>
    <n v="0"/>
  </r>
  <r>
    <x v="0"/>
    <s v="0009635"/>
    <s v="2"/>
    <s v="NFS"/>
    <s v="6761"/>
    <x v="25"/>
    <x v="8"/>
    <s v="610610"/>
    <x v="0"/>
    <s v="347460"/>
    <s v="'39636410000169"/>
    <s v="VILA VELHA"/>
    <x v="6"/>
    <x v="1"/>
    <s v="Uso autorizado"/>
    <s v="'42250206013812000581550020000096351729269997"/>
    <s v="Normal"/>
    <n v="3923.17"/>
    <n v="3923.17"/>
    <n v="0"/>
    <n v="0"/>
    <n v="0"/>
    <n v="156.93"/>
    <n v="0"/>
    <n v="0"/>
    <n v="0"/>
    <n v="3923.17"/>
    <n v="0"/>
    <n v="3766.24"/>
    <n v="62.14"/>
    <n v="286.23"/>
    <x v="0"/>
    <x v="0"/>
    <m/>
    <m/>
    <n v="0"/>
    <m/>
    <m/>
    <s v="'"/>
    <n v="3923.17"/>
  </r>
  <r>
    <x v="0"/>
    <s v="0009636"/>
    <s v="2"/>
    <s v="NFS"/>
    <s v="37004"/>
    <x v="133"/>
    <x v="8"/>
    <s v="610610"/>
    <x v="0"/>
    <s v="347801"/>
    <s v="'44416803000105"/>
    <s v="GOIANIA"/>
    <x v="11"/>
    <x v="1"/>
    <s v="Uso autorizado"/>
    <s v="'42250206013812000581550020000096361378749409"/>
    <s v="Normal"/>
    <n v="9441.91"/>
    <n v="9347.17"/>
    <n v="0"/>
    <n v="0"/>
    <n v="94.74"/>
    <n v="377.68"/>
    <n v="0"/>
    <n v="0"/>
    <n v="0"/>
    <n v="9441.91"/>
    <n v="0"/>
    <n v="9064.23"/>
    <n v="149.56"/>
    <n v="688.88"/>
    <x v="0"/>
    <x v="0"/>
    <m/>
    <m/>
    <n v="0"/>
    <m/>
    <m/>
    <s v="'"/>
    <n v="9441.91"/>
  </r>
  <r>
    <x v="0"/>
    <s v="0009637"/>
    <s v="2"/>
    <s v="NFS"/>
    <s v="37004"/>
    <x v="133"/>
    <x v="8"/>
    <s v="610610"/>
    <x v="0"/>
    <s v="347821"/>
    <s v="'44416803000105"/>
    <s v="GOIANIA"/>
    <x v="11"/>
    <x v="1"/>
    <s v="Uso autorizado"/>
    <s v="'42250206013812000581550020000096371930416246"/>
    <s v="Normal"/>
    <n v="10546.25"/>
    <n v="10546.25"/>
    <n v="0"/>
    <n v="0"/>
    <n v="0"/>
    <n v="421.85"/>
    <n v="0"/>
    <n v="0"/>
    <n v="0"/>
    <n v="10546.25"/>
    <n v="0"/>
    <n v="10124.4"/>
    <n v="167.05"/>
    <n v="769.45"/>
    <x v="0"/>
    <x v="0"/>
    <m/>
    <m/>
    <n v="0"/>
    <m/>
    <m/>
    <s v="'"/>
    <n v="10546.25"/>
  </r>
  <r>
    <x v="0"/>
    <s v="0009638"/>
    <s v="2"/>
    <s v="NFS"/>
    <s v="23021"/>
    <x v="134"/>
    <x v="8"/>
    <s v="510601"/>
    <x v="5"/>
    <s v="347805"/>
    <s v="'09374892000165"/>
    <s v="CRICIUMA"/>
    <x v="3"/>
    <x v="1"/>
    <s v="Uso autorizado"/>
    <s v="'42250206013812000581550020000096381082127734"/>
    <s v="Normal"/>
    <n v="5580.3"/>
    <n v="5580.3"/>
    <n v="0"/>
    <n v="0"/>
    <n v="0"/>
    <n v="223.21"/>
    <n v="0"/>
    <n v="0"/>
    <n v="0"/>
    <n v="5580.3"/>
    <n v="0"/>
    <n v="5357.09"/>
    <n v="88.39"/>
    <n v="407.13"/>
    <x v="0"/>
    <x v="0"/>
    <m/>
    <m/>
    <n v="0"/>
    <m/>
    <m/>
    <s v="'"/>
    <n v="5580.3"/>
  </r>
  <r>
    <x v="0"/>
    <s v="0009639"/>
    <s v="2"/>
    <s v="NFS"/>
    <s v="6868"/>
    <x v="112"/>
    <x v="8"/>
    <s v="510601"/>
    <x v="5"/>
    <s v="345592"/>
    <s v="'73258386000100"/>
    <s v="BLUMENAU"/>
    <x v="3"/>
    <x v="1"/>
    <s v="Uso autorizado"/>
    <s v="'42250206013812000581550020000096391633834404"/>
    <s v="Normal"/>
    <n v="6208.45"/>
    <n v="6208.45"/>
    <n v="0"/>
    <n v="0"/>
    <n v="0"/>
    <n v="248.34"/>
    <n v="0"/>
    <n v="0"/>
    <n v="0"/>
    <n v="6208.45"/>
    <n v="0"/>
    <n v="5960.11"/>
    <n v="98.34"/>
    <n v="452.97"/>
    <x v="0"/>
    <x v="0"/>
    <m/>
    <m/>
    <n v="0"/>
    <m/>
    <m/>
    <s v="'"/>
    <n v="6208.45"/>
  </r>
  <r>
    <x v="0"/>
    <s v="0009640"/>
    <s v="2"/>
    <s v="NFS"/>
    <s v="40517"/>
    <x v="135"/>
    <x v="8"/>
    <s v="610611"/>
    <x v="0"/>
    <s v="347852"/>
    <s v="'54773356000197"/>
    <s v="CAMPO MOURAO"/>
    <x v="5"/>
    <x v="1"/>
    <s v="Uso autorizado"/>
    <s v="'42250206013812000581550020000096401296959240"/>
    <s v="Normal"/>
    <n v="2864"/>
    <n v="2864"/>
    <n v="0"/>
    <n v="0"/>
    <n v="0"/>
    <n v="114.56"/>
    <n v="0"/>
    <n v="0"/>
    <n v="0"/>
    <n v="2864"/>
    <n v="0"/>
    <n v="2749.44"/>
    <n v="45.37"/>
    <n v="208.96"/>
    <x v="0"/>
    <x v="0"/>
    <m/>
    <m/>
    <n v="0"/>
    <m/>
    <m/>
    <s v="'"/>
    <n v="2864"/>
  </r>
  <r>
    <x v="0"/>
    <s v="0009641"/>
    <s v="2"/>
    <s v="NFS"/>
    <s v="37980"/>
    <x v="136"/>
    <x v="8"/>
    <s v="610611"/>
    <x v="0"/>
    <s v="347896"/>
    <s v="'13517783000127"/>
    <s v="IGARATINGA"/>
    <x v="4"/>
    <x v="1"/>
    <s v="Uso autorizado"/>
    <s v="'42250206013812000581550020000096411195384711"/>
    <s v="Normal"/>
    <n v="2505.19"/>
    <n v="2505.19"/>
    <n v="0"/>
    <n v="0"/>
    <n v="0"/>
    <n v="100.21"/>
    <n v="0"/>
    <n v="0"/>
    <n v="0"/>
    <n v="2505.19"/>
    <n v="0"/>
    <n v="2404.98"/>
    <n v="39.68"/>
    <n v="182.78"/>
    <x v="0"/>
    <x v="0"/>
    <m/>
    <m/>
    <n v="0"/>
    <m/>
    <m/>
    <s v="'"/>
    <n v="2505.19"/>
  </r>
  <r>
    <x v="0"/>
    <s v="0009642"/>
    <s v="2"/>
    <s v="NFS"/>
    <s v="38510"/>
    <x v="137"/>
    <x v="8"/>
    <s v="510603"/>
    <x v="5"/>
    <s v="347883"/>
    <s v="'37973836000182"/>
    <s v="BRUSQUE"/>
    <x v="3"/>
    <x v="1"/>
    <s v="Uso autorizado"/>
    <s v="'42250206013812000581550020000096421432166884"/>
    <s v="Normal"/>
    <n v="909.72"/>
    <n v="909.72"/>
    <n v="0"/>
    <n v="0"/>
    <n v="0"/>
    <n v="109.17"/>
    <n v="0"/>
    <n v="0"/>
    <n v="0"/>
    <n v="909.72"/>
    <n v="0"/>
    <n v="800.55"/>
    <n v="13.2"/>
    <n v="60.84"/>
    <x v="0"/>
    <x v="0"/>
    <m/>
    <m/>
    <n v="0"/>
    <m/>
    <m/>
    <s v="'"/>
    <n v="909.72"/>
  </r>
  <r>
    <x v="0"/>
    <s v="0009643"/>
    <s v="2"/>
    <s v="NFS"/>
    <s v="37194"/>
    <x v="138"/>
    <x v="8"/>
    <s v="510603"/>
    <x v="5"/>
    <s v="347837"/>
    <s v="'35650507000175"/>
    <s v="TIMBO"/>
    <x v="3"/>
    <x v="1"/>
    <s v="Uso autorizado"/>
    <s v="'42250206013812000581550020000096431788931546"/>
    <s v="Normal"/>
    <n v="711"/>
    <n v="651"/>
    <n v="0"/>
    <n v="0"/>
    <n v="60"/>
    <n v="85.32"/>
    <n v="0"/>
    <n v="0"/>
    <n v="0"/>
    <n v="711"/>
    <n v="0"/>
    <n v="625.67999999999995"/>
    <n v="10.32"/>
    <n v="47.55"/>
    <x v="0"/>
    <x v="0"/>
    <m/>
    <m/>
    <n v="0"/>
    <m/>
    <m/>
    <s v="'"/>
    <n v="711"/>
  </r>
  <r>
    <x v="0"/>
    <s v="0009644"/>
    <s v="2"/>
    <s v="NFS"/>
    <s v="40020"/>
    <x v="139"/>
    <x v="8"/>
    <s v="61201m"/>
    <x v="12"/>
    <m/>
    <s v="'31245809000107"/>
    <s v="SAO PAULO"/>
    <x v="0"/>
    <x v="1"/>
    <s v="Uso autorizado"/>
    <s v="'42250206013812000581550020000096441995640315"/>
    <s v="Normal"/>
    <n v="853.2"/>
    <n v="853.2"/>
    <n v="0"/>
    <n v="0"/>
    <n v="0"/>
    <n v="34.130000000000003"/>
    <n v="0"/>
    <n v="0"/>
    <n v="0"/>
    <n v="853.2"/>
    <n v="0"/>
    <n v="819.07"/>
    <n v="13.51"/>
    <n v="62.25"/>
    <x v="0"/>
    <x v="1"/>
    <m/>
    <m/>
    <n v="0"/>
    <m/>
    <m/>
    <s v="'"/>
    <n v="853.2"/>
  </r>
  <r>
    <x v="0"/>
    <s v="0009645"/>
    <s v="2"/>
    <s v="NFS"/>
    <s v="40375"/>
    <x v="140"/>
    <x v="8"/>
    <s v="610611"/>
    <x v="0"/>
    <s v="347793"/>
    <s v="'01218495000192"/>
    <s v="ESTRELA"/>
    <x v="7"/>
    <x v="1"/>
    <s v="Uso autorizado"/>
    <s v="'42250206013812000581550020000096451723530479"/>
    <s v="Normal"/>
    <n v="13629.75"/>
    <n v="13629.75"/>
    <n v="0"/>
    <n v="0"/>
    <n v="0"/>
    <n v="545.19000000000005"/>
    <n v="0"/>
    <n v="0"/>
    <n v="0"/>
    <n v="13629.75"/>
    <n v="0"/>
    <n v="13084.56"/>
    <n v="215.9"/>
    <n v="994.43"/>
    <x v="0"/>
    <x v="0"/>
    <m/>
    <m/>
    <n v="0"/>
    <m/>
    <m/>
    <s v="'"/>
    <n v="13629.75"/>
  </r>
  <r>
    <x v="0"/>
    <s v="0009646"/>
    <s v="2"/>
    <s v="NFS"/>
    <s v="37105"/>
    <x v="141"/>
    <x v="8"/>
    <s v="612303"/>
    <x v="3"/>
    <s v="347395"/>
    <s v="'40915552000144"/>
    <s v="SAO JOAO DEL REI"/>
    <x v="4"/>
    <x v="1"/>
    <s v="Uso autorizado"/>
    <s v="'42250206013812000581550020000096461456866591"/>
    <s v="Normal"/>
    <n v="750"/>
    <n v="650"/>
    <n v="0"/>
    <n v="0"/>
    <n v="100"/>
    <n v="30"/>
    <n v="0"/>
    <n v="0"/>
    <n v="0"/>
    <n v="750"/>
    <n v="0"/>
    <n v="720"/>
    <n v="11.88"/>
    <n v="54.72"/>
    <x v="0"/>
    <x v="0"/>
    <n v="9647"/>
    <n v="2"/>
    <n v="37105"/>
    <s v="MA BELLE ATACADO E VAREJO LTDA"/>
    <d v="2025-02-12T00:00:00"/>
    <s v="'42250206013812000581550020000096471862004223"/>
    <n v="750"/>
  </r>
  <r>
    <x v="0"/>
    <s v="0009647"/>
    <s v="2"/>
    <s v="NFS"/>
    <s v="37534"/>
    <x v="142"/>
    <x v="8"/>
    <s v="612304"/>
    <x v="4"/>
    <m/>
    <s v="'30185001000119"/>
    <s v="SAO PAULO"/>
    <x v="0"/>
    <x v="1"/>
    <s v="Uso autorizado"/>
    <s v="'42250206013812000581550020000096471862004223"/>
    <s v="Normal"/>
    <n v="750"/>
    <n v="650"/>
    <n v="0"/>
    <n v="0"/>
    <n v="0"/>
    <n v="0"/>
    <n v="750"/>
    <n v="0"/>
    <n v="0"/>
    <n v="750"/>
    <n v="0"/>
    <n v="0"/>
    <n v="0"/>
    <n v="0"/>
    <x v="0"/>
    <x v="1"/>
    <n v="9646"/>
    <n v="2"/>
    <n v="37534"/>
    <s v="FJL CONFECCOES EIRELI"/>
    <d v="2025-02-12T00:00:00"/>
    <s v="'42250206013812000581550020000096461456866591"/>
    <n v="0"/>
  </r>
  <r>
    <x v="0"/>
    <s v="0009648"/>
    <s v="2"/>
    <s v="NFS"/>
    <s v="37526"/>
    <x v="143"/>
    <x v="8"/>
    <s v="610611"/>
    <x v="0"/>
    <s v="347753"/>
    <s v="'46474413000109"/>
    <s v="ITAPERUNA"/>
    <x v="2"/>
    <x v="1"/>
    <s v="Uso autorizado"/>
    <s v="'42250206013812000581550020000096481321392324"/>
    <s v="Normal"/>
    <n v="2630.4"/>
    <n v="2630.4"/>
    <n v="0"/>
    <n v="0"/>
    <n v="0"/>
    <n v="105.22"/>
    <n v="0"/>
    <n v="0"/>
    <n v="0"/>
    <n v="2630.4"/>
    <n v="0"/>
    <n v="2525.1799999999998"/>
    <n v="41.67"/>
    <n v="191.92"/>
    <x v="0"/>
    <x v="0"/>
    <m/>
    <m/>
    <n v="0"/>
    <m/>
    <m/>
    <s v="'"/>
    <n v="2630.4"/>
  </r>
  <r>
    <x v="0"/>
    <s v="0009649"/>
    <s v="2"/>
    <s v="NFS"/>
    <s v="40402"/>
    <x v="144"/>
    <x v="8"/>
    <s v="610611"/>
    <x v="0"/>
    <s v="347600"/>
    <s v="'56051108000168"/>
    <s v="SAO PAULO"/>
    <x v="0"/>
    <x v="1"/>
    <s v="Uso autorizado"/>
    <s v="'42250206013812000581550020000096491977672720"/>
    <s v="Normal"/>
    <n v="89.97"/>
    <n v="89.97"/>
    <n v="0"/>
    <n v="0"/>
    <n v="0"/>
    <n v="3.6"/>
    <n v="0"/>
    <n v="0"/>
    <n v="0"/>
    <n v="89.97"/>
    <n v="0"/>
    <n v="86.37"/>
    <n v="1.43"/>
    <n v="6.56"/>
    <x v="0"/>
    <x v="0"/>
    <m/>
    <m/>
    <n v="0"/>
    <m/>
    <m/>
    <s v="'"/>
    <n v="89.97"/>
  </r>
  <r>
    <x v="0"/>
    <s v="0009650"/>
    <s v="2"/>
    <s v="NFS"/>
    <s v="38284"/>
    <x v="11"/>
    <x v="8"/>
    <s v="59207i"/>
    <x v="6"/>
    <m/>
    <s v="'08248539000842"/>
    <s v="ITAJAI"/>
    <x v="3"/>
    <x v="1"/>
    <s v="Uso autorizado"/>
    <s v="'42250206013812000581550020000096501555688112"/>
    <s v="Normal"/>
    <n v="998.63"/>
    <n v="998.63"/>
    <n v="0"/>
    <n v="0"/>
    <n v="0"/>
    <n v="0"/>
    <n v="998.63"/>
    <n v="0"/>
    <n v="0"/>
    <n v="998.63"/>
    <n v="0"/>
    <n v="998.63"/>
    <n v="16.48"/>
    <n v="75.900000000000006"/>
    <x v="0"/>
    <x v="1"/>
    <m/>
    <m/>
    <n v="0"/>
    <m/>
    <m/>
    <s v="'"/>
    <n v="0"/>
  </r>
  <r>
    <x v="0"/>
    <s v="0009651"/>
    <s v="2"/>
    <s v="NFS"/>
    <s v="35898"/>
    <x v="8"/>
    <x v="8"/>
    <s v="510601"/>
    <x v="5"/>
    <s v="347578"/>
    <s v="'79941506000155"/>
    <s v="JARAGUA DO SUL"/>
    <x v="3"/>
    <x v="1"/>
    <s v="Uso autorizado"/>
    <s v="'42250206013812000581550020000096511110397500"/>
    <s v="Normal"/>
    <n v="296.60000000000002"/>
    <n v="277.20999999999998"/>
    <n v="0"/>
    <n v="0"/>
    <n v="19.39"/>
    <n v="11.86"/>
    <n v="0"/>
    <n v="0"/>
    <n v="0"/>
    <n v="296.60000000000002"/>
    <n v="0"/>
    <n v="284.74"/>
    <n v="4.68"/>
    <n v="21.65"/>
    <x v="0"/>
    <x v="0"/>
    <m/>
    <m/>
    <n v="0"/>
    <m/>
    <m/>
    <s v="'"/>
    <n v="296.60000000000002"/>
  </r>
  <r>
    <x v="0"/>
    <s v="0009652"/>
    <s v="2"/>
    <s v="NFS"/>
    <s v="37972"/>
    <x v="145"/>
    <x v="8"/>
    <s v="610610"/>
    <x v="0"/>
    <s v="347832"/>
    <s v="'30563332000145"/>
    <s v="SAO MATEUS"/>
    <x v="6"/>
    <x v="1"/>
    <s v="Uso autorizado"/>
    <s v="'42250206013812000581550020000096521926369014"/>
    <s v="Normal"/>
    <n v="5896.97"/>
    <n v="5896.97"/>
    <n v="0"/>
    <n v="0"/>
    <n v="0"/>
    <n v="235.88"/>
    <n v="0"/>
    <n v="0"/>
    <n v="0"/>
    <n v="5896.97"/>
    <n v="0"/>
    <n v="5661.09"/>
    <n v="93.41"/>
    <n v="430.25"/>
    <x v="0"/>
    <x v="0"/>
    <m/>
    <m/>
    <n v="0"/>
    <m/>
    <m/>
    <s v="'"/>
    <n v="5896.97"/>
  </r>
  <r>
    <x v="0"/>
    <s v="0009653"/>
    <s v="2"/>
    <s v="NFS"/>
    <s v="36208"/>
    <x v="146"/>
    <x v="8"/>
    <s v="610611"/>
    <x v="0"/>
    <s v="347906"/>
    <s v="'35219660000142"/>
    <s v="RIO DE JANEIRO"/>
    <x v="2"/>
    <x v="1"/>
    <s v="Uso autorizado"/>
    <s v="'42250206013812000581550020000096531752628130"/>
    <s v="Normal"/>
    <n v="4835.7"/>
    <n v="4835.7"/>
    <n v="0"/>
    <n v="0"/>
    <n v="0"/>
    <n v="193.43"/>
    <n v="0"/>
    <n v="0"/>
    <n v="0"/>
    <n v="4835.7"/>
    <n v="0"/>
    <n v="4642.2700000000004"/>
    <n v="76.59"/>
    <n v="352.81"/>
    <x v="0"/>
    <x v="0"/>
    <m/>
    <m/>
    <n v="0"/>
    <m/>
    <m/>
    <s v="'"/>
    <n v="4835.7"/>
  </r>
  <r>
    <x v="0"/>
    <s v="0009654"/>
    <s v="2"/>
    <s v="NFS"/>
    <s v="36208"/>
    <x v="146"/>
    <x v="8"/>
    <s v="610611"/>
    <x v="0"/>
    <s v="347908"/>
    <s v="'35219660000142"/>
    <s v="RIO DE JANEIRO"/>
    <x v="2"/>
    <x v="1"/>
    <s v="Uso autorizado"/>
    <s v="'42250206013812000581550020000096541473591246"/>
    <s v="Normal"/>
    <n v="1209.92"/>
    <n v="1209.92"/>
    <n v="0"/>
    <n v="0"/>
    <n v="0"/>
    <n v="48.4"/>
    <n v="0"/>
    <n v="0"/>
    <n v="0"/>
    <n v="1209.92"/>
    <n v="0"/>
    <n v="1161.52"/>
    <n v="19.170000000000002"/>
    <n v="88.28"/>
    <x v="0"/>
    <x v="0"/>
    <m/>
    <m/>
    <n v="0"/>
    <m/>
    <m/>
    <s v="'"/>
    <n v="1209.92"/>
  </r>
  <r>
    <x v="0"/>
    <s v="0009655"/>
    <s v="2"/>
    <s v="NFS"/>
    <s v="38107"/>
    <x v="147"/>
    <x v="8"/>
    <s v="610611"/>
    <x v="0"/>
    <s v="347641"/>
    <s v="'28897493000123"/>
    <s v="SAO PAULO"/>
    <x v="0"/>
    <x v="1"/>
    <s v="Uso autorizado"/>
    <s v="'42250206013812000581550020000096551007259115"/>
    <s v="Normal"/>
    <n v="4536"/>
    <n v="4536"/>
    <n v="0"/>
    <n v="0"/>
    <n v="0"/>
    <n v="181.44"/>
    <n v="0"/>
    <n v="0"/>
    <n v="0"/>
    <n v="4536"/>
    <n v="0"/>
    <n v="4354.5600000000004"/>
    <n v="71.86"/>
    <n v="330.95"/>
    <x v="0"/>
    <x v="0"/>
    <m/>
    <m/>
    <n v="0"/>
    <m/>
    <m/>
    <s v="'"/>
    <n v="4536"/>
  </r>
  <r>
    <x v="0"/>
    <s v="0009656"/>
    <s v="2"/>
    <s v="NFS"/>
    <s v="38107"/>
    <x v="147"/>
    <x v="8"/>
    <s v="610611"/>
    <x v="0"/>
    <s v="347768"/>
    <s v="'28897493000123"/>
    <s v="SAO PAULO"/>
    <x v="0"/>
    <x v="1"/>
    <s v="Uso autorizado"/>
    <s v="'42250206013812000581550020000096561686568564"/>
    <s v="Normal"/>
    <n v="1479.6"/>
    <n v="1479.6"/>
    <n v="0"/>
    <n v="0"/>
    <n v="0"/>
    <n v="59.18"/>
    <n v="0"/>
    <n v="0"/>
    <n v="0"/>
    <n v="1479.6"/>
    <n v="0"/>
    <n v="1420.42"/>
    <n v="23.44"/>
    <n v="107.95"/>
    <x v="0"/>
    <x v="0"/>
    <m/>
    <m/>
    <n v="0"/>
    <m/>
    <m/>
    <s v="'"/>
    <n v="1479.6"/>
  </r>
  <r>
    <x v="0"/>
    <s v="0009657"/>
    <s v="2"/>
    <s v="NFS"/>
    <s v="36670"/>
    <x v="148"/>
    <x v="8"/>
    <s v="610611"/>
    <x v="0"/>
    <s v="346491"/>
    <s v="'41326097000104"/>
    <s v="SAO PAULO"/>
    <x v="0"/>
    <x v="1"/>
    <s v="Uso autorizado"/>
    <s v="'42250206013812000581550020000096571879721140"/>
    <s v="Normal"/>
    <n v="16086.8"/>
    <n v="16086.8"/>
    <n v="0"/>
    <n v="0"/>
    <n v="0"/>
    <n v="643.47"/>
    <n v="0"/>
    <n v="0"/>
    <n v="0"/>
    <n v="16086.8"/>
    <n v="0"/>
    <n v="15443.33"/>
    <n v="254.81"/>
    <n v="1173.7"/>
    <x v="0"/>
    <x v="0"/>
    <m/>
    <m/>
    <n v="0"/>
    <m/>
    <m/>
    <s v="'"/>
    <n v="16086.8"/>
  </r>
  <r>
    <x v="0"/>
    <s v="0009658"/>
    <s v="2"/>
    <s v="NFS"/>
    <s v="37105"/>
    <x v="141"/>
    <x v="8"/>
    <s v="612303"/>
    <x v="3"/>
    <s v="347397"/>
    <s v="'40915552000144"/>
    <s v="SAO JOAO DEL REI"/>
    <x v="4"/>
    <x v="1"/>
    <s v="Uso autorizado"/>
    <s v="'42250206013812000581550020000096581701928532"/>
    <s v="Normal"/>
    <n v="6276.7"/>
    <n v="6276.7"/>
    <n v="0"/>
    <n v="0"/>
    <n v="0"/>
    <n v="251.07"/>
    <n v="0"/>
    <n v="0"/>
    <n v="0"/>
    <n v="6276.7"/>
    <n v="0"/>
    <n v="6025.63"/>
    <n v="99.44"/>
    <n v="457.94"/>
    <x v="0"/>
    <x v="0"/>
    <n v="9659"/>
    <n v="2"/>
    <n v="37105"/>
    <s v="MA BELLE ATACADO E VAREJO LTDA"/>
    <d v="2025-02-12T00:00:00"/>
    <s v="'42250206013812000581550020000096591936901526"/>
    <n v="6276.7"/>
  </r>
  <r>
    <x v="0"/>
    <s v="0009659"/>
    <s v="2"/>
    <s v="NFS"/>
    <s v="40486"/>
    <x v="149"/>
    <x v="8"/>
    <s v="612304"/>
    <x v="4"/>
    <m/>
    <s v="'34158450000129"/>
    <s v="SAO JOAO DEL REI"/>
    <x v="4"/>
    <x v="1"/>
    <s v="Uso autorizado"/>
    <s v="'42250206013812000581550020000096591936901526"/>
    <s v="Normal"/>
    <n v="6276.7"/>
    <n v="6276.7"/>
    <n v="0"/>
    <n v="0"/>
    <n v="0"/>
    <n v="0"/>
    <n v="6276.7"/>
    <n v="0"/>
    <n v="0"/>
    <n v="6276.7"/>
    <n v="0"/>
    <n v="0"/>
    <n v="0"/>
    <n v="0"/>
    <x v="0"/>
    <x v="1"/>
    <n v="9658"/>
    <n v="2"/>
    <n v="40486"/>
    <s v="MA BELLE MODA FEMININA LTDA"/>
    <d v="2025-02-12T00:00:00"/>
    <s v="'42250206013812000581550020000096581701928532"/>
    <n v="0"/>
  </r>
  <r>
    <x v="0"/>
    <s v="0009660"/>
    <s v="2"/>
    <s v="NFS"/>
    <s v="19923"/>
    <x v="90"/>
    <x v="8"/>
    <s v="510605"/>
    <x v="5"/>
    <s v="347615"/>
    <s v="'00933691000186"/>
    <s v="MASSARANDUBA"/>
    <x v="3"/>
    <x v="0"/>
    <s v="Documento Cancelado"/>
    <s v="'42250206013812000581550020000096601942670817"/>
    <s v="Normal"/>
    <n v="3750"/>
    <n v="3750"/>
    <n v="0"/>
    <n v="0"/>
    <n v="0"/>
    <n v="150"/>
    <n v="0"/>
    <n v="0"/>
    <n v="0"/>
    <n v="3750"/>
    <n v="0"/>
    <n v="3600"/>
    <n v="59.4"/>
    <n v="273.60000000000002"/>
    <x v="0"/>
    <x v="0"/>
    <m/>
    <m/>
    <n v="0"/>
    <m/>
    <m/>
    <s v="'"/>
    <n v="3750"/>
  </r>
  <r>
    <x v="0"/>
    <s v="0009661"/>
    <s v="2"/>
    <s v="NFS"/>
    <s v="40514"/>
    <x v="150"/>
    <x v="8"/>
    <s v="610610"/>
    <x v="0"/>
    <s v="347830"/>
    <s v="'13730768000324"/>
    <s v="FORTALEZA"/>
    <x v="9"/>
    <x v="1"/>
    <s v="Uso autorizado"/>
    <s v="'42250206013812000581550020000096611579243017"/>
    <s v="Normal"/>
    <n v="6427.2"/>
    <n v="6302.4"/>
    <n v="0"/>
    <n v="0"/>
    <n v="124.8"/>
    <n v="257.08999999999997"/>
    <n v="0"/>
    <n v="0"/>
    <n v="0"/>
    <n v="6427.2"/>
    <n v="0"/>
    <n v="6170.11"/>
    <n v="101.81"/>
    <n v="468.93"/>
    <x v="0"/>
    <x v="0"/>
    <m/>
    <m/>
    <n v="0"/>
    <m/>
    <m/>
    <s v="'"/>
    <n v="6427.2"/>
  </r>
  <r>
    <x v="0"/>
    <s v="0009662"/>
    <s v="2"/>
    <s v="NFS"/>
    <s v="39379"/>
    <x v="151"/>
    <x v="8"/>
    <s v="510601"/>
    <x v="5"/>
    <s v="347886"/>
    <s v="'40140690000107"/>
    <s v="BLUMENAU"/>
    <x v="3"/>
    <x v="1"/>
    <s v="Uso autorizado"/>
    <s v="'42250206013812000581550020000096621249873847"/>
    <s v="Normal"/>
    <n v="111.83"/>
    <n v="64.5"/>
    <n v="0"/>
    <n v="0"/>
    <n v="47.33"/>
    <n v="4.47"/>
    <n v="0"/>
    <n v="0"/>
    <n v="0"/>
    <n v="111.83"/>
    <n v="0"/>
    <n v="107.36"/>
    <n v="1.77"/>
    <n v="8.16"/>
    <x v="0"/>
    <x v="0"/>
    <m/>
    <m/>
    <n v="0"/>
    <m/>
    <m/>
    <s v="'"/>
    <n v="111.83"/>
  </r>
  <r>
    <x v="0"/>
    <s v="0009663"/>
    <s v="2"/>
    <s v="NFS"/>
    <s v="28128"/>
    <x v="129"/>
    <x v="8"/>
    <s v="510603"/>
    <x v="5"/>
    <s v="347765"/>
    <s v="'10617324000127"/>
    <s v="SOMBRIO"/>
    <x v="3"/>
    <x v="1"/>
    <s v="Uso autorizado"/>
    <s v="'42250206013812000581550020000096631753905983"/>
    <s v="Normal"/>
    <n v="110.36"/>
    <n v="88.2"/>
    <n v="0"/>
    <n v="0"/>
    <n v="22.16"/>
    <n v="13.24"/>
    <n v="0"/>
    <n v="0"/>
    <n v="0"/>
    <n v="110.36"/>
    <n v="0"/>
    <n v="97.12"/>
    <n v="1.6"/>
    <n v="7.38"/>
    <x v="0"/>
    <x v="0"/>
    <m/>
    <m/>
    <n v="0"/>
    <m/>
    <m/>
    <s v="'"/>
    <n v="110.36"/>
  </r>
  <r>
    <x v="0"/>
    <s v="0009664"/>
    <s v="2"/>
    <s v="NFS"/>
    <s v="35957"/>
    <x v="152"/>
    <x v="8"/>
    <s v="610610"/>
    <x v="0"/>
    <s v="347865"/>
    <s v="'37106444000116"/>
    <s v="COLATINA"/>
    <x v="6"/>
    <x v="1"/>
    <s v="Uso autorizado"/>
    <s v="'42250206013812000581550020000096641856470278"/>
    <s v="Normal"/>
    <n v="5177.16"/>
    <n v="5177.16"/>
    <n v="0"/>
    <n v="0"/>
    <n v="0"/>
    <n v="207.09"/>
    <n v="0"/>
    <n v="0"/>
    <n v="0"/>
    <n v="5177.16"/>
    <n v="0"/>
    <n v="4970.07"/>
    <n v="82.02"/>
    <n v="377.72"/>
    <x v="0"/>
    <x v="0"/>
    <m/>
    <m/>
    <n v="0"/>
    <m/>
    <m/>
    <s v="'"/>
    <n v="5177.16"/>
  </r>
  <r>
    <x v="0"/>
    <s v="0009665"/>
    <s v="2"/>
    <s v="NFS"/>
    <s v="32272"/>
    <x v="153"/>
    <x v="8"/>
    <s v="69929m"/>
    <x v="7"/>
    <s v="347540"/>
    <s v="'19423595000116"/>
    <s v="SAO PAULO"/>
    <x v="0"/>
    <x v="1"/>
    <s v="Uso autorizado"/>
    <s v="'42250206013812000581550020000096651028884198"/>
    <s v="Normal"/>
    <n v="10"/>
    <n v="10"/>
    <n v="0"/>
    <n v="0"/>
    <n v="0"/>
    <n v="0.4"/>
    <n v="0"/>
    <n v="0"/>
    <n v="0"/>
    <n v="0"/>
    <n v="0"/>
    <n v="9.6"/>
    <n v="0.16"/>
    <n v="0.73"/>
    <x v="0"/>
    <x v="1"/>
    <m/>
    <m/>
    <n v="0"/>
    <m/>
    <m/>
    <s v="'"/>
    <n v="10"/>
  </r>
  <r>
    <x v="0"/>
    <s v="0009666"/>
    <s v="2"/>
    <s v="NFS"/>
    <s v="33643"/>
    <x v="113"/>
    <x v="8"/>
    <s v="69929m"/>
    <x v="7"/>
    <s v="347705"/>
    <s v="'49503790000117"/>
    <s v="SAO PAULO"/>
    <x v="0"/>
    <x v="1"/>
    <s v="Uso autorizado"/>
    <s v="'42250206013812000581550020000096661750359211"/>
    <s v="Normal"/>
    <n v="10"/>
    <n v="10"/>
    <n v="0"/>
    <n v="0"/>
    <n v="0"/>
    <n v="0.4"/>
    <n v="0"/>
    <n v="0"/>
    <n v="0"/>
    <n v="0"/>
    <n v="0"/>
    <n v="9.6"/>
    <n v="0.16"/>
    <n v="0.73"/>
    <x v="0"/>
    <x v="1"/>
    <m/>
    <m/>
    <n v="0"/>
    <m/>
    <m/>
    <s v="'"/>
    <n v="10"/>
  </r>
  <r>
    <x v="0"/>
    <s v="0009667"/>
    <s v="2"/>
    <s v="NFD"/>
    <s v="33540"/>
    <x v="115"/>
    <x v="9"/>
    <s v="23202M"/>
    <x v="13"/>
    <s v=" "/>
    <s v="'20802117000104"/>
    <s v="PARAUAPEBAS"/>
    <x v="14"/>
    <x v="1"/>
    <s v="Uso autorizado"/>
    <s v="'42250206013812000581550020000096671801536759"/>
    <s v="Normal"/>
    <n v="-7741.51"/>
    <n v="-7741.51"/>
    <n v="0"/>
    <n v="0"/>
    <n v="0"/>
    <n v="-309.66000000000003"/>
    <n v="0"/>
    <n v="0"/>
    <n v="0"/>
    <n v="0"/>
    <n v="0"/>
    <n v="-7431.85"/>
    <n v="-122.62"/>
    <n v="-564.82000000000005"/>
    <x v="0"/>
    <x v="1"/>
    <n v="9614"/>
    <n v="2"/>
    <n v="33540"/>
    <s v="C DA S COSTA E COSTA COM VAREJ DE TEC LTDA"/>
    <d v="2025-02-10T00:00:00"/>
    <s v="'42250206013812000581550020000096141951111989"/>
    <n v="-7741.51"/>
  </r>
  <r>
    <x v="0"/>
    <s v="0009668"/>
    <s v="2"/>
    <s v="NFS"/>
    <s v="38284"/>
    <x v="11"/>
    <x v="9"/>
    <s v="59207i"/>
    <x v="6"/>
    <m/>
    <s v="'08248539000842"/>
    <s v="ITAJAI"/>
    <x v="3"/>
    <x v="1"/>
    <s v="Uso autorizado"/>
    <s v="'42250206013812000581550020000096681957160435"/>
    <s v="Normal"/>
    <n v="3406.42"/>
    <n v="3406.42"/>
    <n v="0"/>
    <n v="0"/>
    <n v="0"/>
    <n v="0"/>
    <n v="3406.42"/>
    <n v="0"/>
    <n v="0"/>
    <n v="3406.42"/>
    <n v="0"/>
    <n v="3406.42"/>
    <n v="56.2"/>
    <n v="258.89"/>
    <x v="0"/>
    <x v="1"/>
    <m/>
    <m/>
    <n v="0"/>
    <m/>
    <m/>
    <s v="'"/>
    <n v="0"/>
  </r>
  <r>
    <x v="0"/>
    <s v="0009669"/>
    <s v="2"/>
    <s v="NFS"/>
    <s v="39769"/>
    <x v="154"/>
    <x v="9"/>
    <s v="610610"/>
    <x v="0"/>
    <s v="347914"/>
    <s v="'50641587000196"/>
    <s v="GOIANIA"/>
    <x v="11"/>
    <x v="0"/>
    <s v="Documento Cancelado"/>
    <s v="'42250206013812000581550020000096691604669491"/>
    <s v="Normal"/>
    <n v="2794.77"/>
    <n v="2680"/>
    <n v="0"/>
    <n v="0"/>
    <n v="26.8"/>
    <n v="108.27"/>
    <n v="0"/>
    <n v="0"/>
    <n v="87.97"/>
    <n v="0"/>
    <n v="0"/>
    <n v="2598.5300000000002"/>
    <n v="42.88"/>
    <n v="197.49"/>
    <x v="0"/>
    <x v="0"/>
    <m/>
    <m/>
    <n v="0"/>
    <m/>
    <m/>
    <s v="'"/>
    <n v="2706.8"/>
  </r>
  <r>
    <x v="0"/>
    <s v="0009670"/>
    <s v="2"/>
    <s v="NFE"/>
    <s v="26715"/>
    <x v="59"/>
    <x v="9"/>
    <s v="31206"/>
    <x v="9"/>
    <s v=" "/>
    <s v="'"/>
    <s v="CHINA"/>
    <x v="10"/>
    <x v="1"/>
    <s v="Uso autorizado"/>
    <s v="'42250206013812000581550020000096701842397392"/>
    <s v="Normal"/>
    <n v="-1164128.25"/>
    <n v="-811067"/>
    <n v="-839.37"/>
    <n v="-323905.76"/>
    <n v="-28316.12"/>
    <n v="0"/>
    <n v="-1164128.25"/>
    <n v="0"/>
    <n v="0"/>
    <n v="-1058680.3400000001"/>
    <n v="0"/>
    <n v="-840222.49"/>
    <n v="-17644.669999999998"/>
    <n v="-81081.48"/>
    <x v="0"/>
    <x v="1"/>
    <m/>
    <m/>
    <n v="0"/>
    <m/>
    <m/>
    <s v="'"/>
    <n v="0"/>
  </r>
  <r>
    <x v="0"/>
    <s v="0009671"/>
    <s v="2"/>
    <s v="NFS"/>
    <s v="13468"/>
    <x v="155"/>
    <x v="9"/>
    <s v="610611"/>
    <x v="0"/>
    <s v="347672"/>
    <s v="'67555391000181"/>
    <s v="CERQUILHO"/>
    <x v="0"/>
    <x v="1"/>
    <s v="Uso autorizado"/>
    <s v="'42250206013812000581550020000096711740870991"/>
    <s v="Normal"/>
    <n v="240.25"/>
    <n v="200.8"/>
    <n v="0"/>
    <n v="0"/>
    <n v="39.450000000000003"/>
    <n v="9.61"/>
    <n v="0"/>
    <n v="0"/>
    <n v="0"/>
    <n v="200.8"/>
    <n v="0"/>
    <n v="230.64"/>
    <n v="3.81"/>
    <n v="17.53"/>
    <x v="0"/>
    <x v="0"/>
    <m/>
    <m/>
    <n v="0"/>
    <m/>
    <m/>
    <s v="'"/>
    <n v="240.25"/>
  </r>
  <r>
    <x v="0"/>
    <s v="0009672"/>
    <s v="2"/>
    <s v="NFS"/>
    <s v="33668"/>
    <x v="156"/>
    <x v="9"/>
    <s v="610610"/>
    <x v="0"/>
    <s v="347868"/>
    <s v="'29948844000140"/>
    <s v="CARIACICA"/>
    <x v="6"/>
    <x v="1"/>
    <s v="Uso autorizado"/>
    <s v="'42250206013812000581550020000096721396996559"/>
    <s v="Normal"/>
    <n v="2838.22"/>
    <n v="2838.22"/>
    <n v="0"/>
    <n v="0"/>
    <n v="0"/>
    <n v="113.53"/>
    <n v="0"/>
    <n v="0"/>
    <n v="0"/>
    <n v="2838.22"/>
    <n v="0"/>
    <n v="2724.69"/>
    <n v="44.97"/>
    <n v="207.08"/>
    <x v="0"/>
    <x v="0"/>
    <m/>
    <m/>
    <n v="0"/>
    <m/>
    <m/>
    <s v="'"/>
    <n v="2838.22"/>
  </r>
  <r>
    <x v="0"/>
    <s v="0009673"/>
    <s v="2"/>
    <s v="NFS"/>
    <s v="39507"/>
    <x v="157"/>
    <x v="9"/>
    <s v="610611"/>
    <x v="0"/>
    <s v="347434"/>
    <s v="'51815457000195"/>
    <s v="SAO PAULO"/>
    <x v="0"/>
    <x v="1"/>
    <s v="Uso autorizado"/>
    <s v="'42250206013812000581550020000096731423496334"/>
    <s v="Normal"/>
    <n v="5945.16"/>
    <n v="5945.16"/>
    <n v="0"/>
    <n v="0"/>
    <n v="0"/>
    <n v="237.81"/>
    <n v="0"/>
    <n v="0"/>
    <n v="0"/>
    <n v="5945.16"/>
    <n v="0"/>
    <n v="5707.35"/>
    <n v="94.17"/>
    <n v="433.76"/>
    <x v="0"/>
    <x v="0"/>
    <m/>
    <m/>
    <n v="0"/>
    <m/>
    <m/>
    <s v="'"/>
    <n v="5945.16"/>
  </r>
  <r>
    <x v="0"/>
    <s v="0009674"/>
    <s v="2"/>
    <s v="NFS"/>
    <s v="38284"/>
    <x v="11"/>
    <x v="9"/>
    <s v="59207i"/>
    <x v="6"/>
    <m/>
    <s v="'08248539000842"/>
    <s v="ITAJAI"/>
    <x v="3"/>
    <x v="1"/>
    <s v="Uso autorizado"/>
    <s v="'42250206013812000581550020000096741761866464"/>
    <s v="Normal"/>
    <n v="811067"/>
    <n v="811067"/>
    <n v="0"/>
    <n v="0"/>
    <n v="0"/>
    <n v="0"/>
    <n v="811067"/>
    <n v="0"/>
    <n v="0"/>
    <n v="811067"/>
    <n v="0"/>
    <n v="811067"/>
    <n v="13382.61"/>
    <n v="61641.08"/>
    <x v="0"/>
    <x v="1"/>
    <m/>
    <m/>
    <n v="0"/>
    <m/>
    <m/>
    <s v="'"/>
    <n v="0"/>
  </r>
  <r>
    <x v="0"/>
    <s v="0009675"/>
    <s v="2"/>
    <s v="NFS"/>
    <s v="37982"/>
    <x v="158"/>
    <x v="9"/>
    <s v="610610"/>
    <x v="0"/>
    <s v="347879"/>
    <s v="'15996051000192"/>
    <s v="GOIANIA"/>
    <x v="11"/>
    <x v="1"/>
    <s v="Uso autorizado"/>
    <s v="'42250206013812000581550020000096751537630107"/>
    <s v="Normal"/>
    <n v="6103.44"/>
    <n v="6044.64"/>
    <n v="0"/>
    <n v="0"/>
    <n v="58.8"/>
    <n v="244.14"/>
    <n v="0"/>
    <n v="0"/>
    <n v="0"/>
    <n v="6103.44"/>
    <n v="0"/>
    <n v="5859.3"/>
    <n v="96.68"/>
    <n v="445.31"/>
    <x v="0"/>
    <x v="0"/>
    <m/>
    <m/>
    <n v="0"/>
    <m/>
    <m/>
    <s v="'"/>
    <n v="6103.44"/>
  </r>
  <r>
    <x v="0"/>
    <s v="0009676"/>
    <s v="2"/>
    <s v="NFS"/>
    <s v="36485"/>
    <x v="159"/>
    <x v="9"/>
    <s v="610611"/>
    <x v="0"/>
    <s v="347955"/>
    <s v="'17772910000195"/>
    <s v="SAO PAULO"/>
    <x v="0"/>
    <x v="1"/>
    <s v="Uso autorizado"/>
    <s v="'42250206013812000581550020000096761187318425"/>
    <s v="Normal"/>
    <n v="2431.1"/>
    <n v="2431.1"/>
    <n v="0"/>
    <n v="0"/>
    <n v="0"/>
    <n v="97.24"/>
    <n v="0"/>
    <n v="0"/>
    <n v="0"/>
    <n v="2431.1"/>
    <n v="0"/>
    <n v="2333.86"/>
    <n v="38.51"/>
    <n v="177.37"/>
    <x v="0"/>
    <x v="0"/>
    <m/>
    <m/>
    <n v="0"/>
    <m/>
    <m/>
    <s v="'"/>
    <n v="2431.1"/>
  </r>
  <r>
    <x v="0"/>
    <s v="0009677"/>
    <s v="2"/>
    <s v="NFS"/>
    <s v="35048"/>
    <x v="160"/>
    <x v="9"/>
    <s v="510603"/>
    <x v="5"/>
    <s v="347795"/>
    <s v="'10734547000174"/>
    <s v="SANTA ROSA DO SUL"/>
    <x v="3"/>
    <x v="1"/>
    <s v="Uso autorizado"/>
    <s v="'42250206013812000581550020000096771100105448"/>
    <s v="Normal"/>
    <n v="3587.93"/>
    <n v="3475"/>
    <n v="0"/>
    <n v="0"/>
    <n v="0"/>
    <n v="417"/>
    <n v="0"/>
    <n v="0"/>
    <n v="112.93"/>
    <n v="0"/>
    <n v="0"/>
    <n v="3058"/>
    <n v="50.46"/>
    <n v="232.41"/>
    <x v="0"/>
    <x v="0"/>
    <m/>
    <m/>
    <n v="0"/>
    <m/>
    <m/>
    <s v="'"/>
    <n v="3475"/>
  </r>
  <r>
    <x v="0"/>
    <s v="0009678"/>
    <s v="2"/>
    <s v="NFS"/>
    <s v="38820"/>
    <x v="161"/>
    <x v="9"/>
    <s v="510605"/>
    <x v="5"/>
    <s v="347967"/>
    <s v="'02067328000150"/>
    <s v="GASPAR"/>
    <x v="3"/>
    <x v="1"/>
    <s v="Uso autorizado"/>
    <s v="'42250206013812000581550020000096781918474544"/>
    <s v="Normal"/>
    <n v="45650.16"/>
    <n v="45650.16"/>
    <n v="0"/>
    <n v="0"/>
    <n v="0"/>
    <n v="1826.01"/>
    <n v="0"/>
    <n v="0"/>
    <n v="0"/>
    <n v="45650.16"/>
    <n v="0"/>
    <n v="43824.15"/>
    <n v="723.09"/>
    <n v="3330.64"/>
    <x v="0"/>
    <x v="0"/>
    <m/>
    <m/>
    <n v="0"/>
    <m/>
    <m/>
    <s v="'"/>
    <n v="45650.16"/>
  </r>
  <r>
    <x v="0"/>
    <s v="0009679"/>
    <s v="2"/>
    <s v="NFS"/>
    <s v="14963"/>
    <x v="97"/>
    <x v="9"/>
    <s v="610611"/>
    <x v="0"/>
    <s v="347934"/>
    <s v="'49921554000110"/>
    <s v="SAO PAULO"/>
    <x v="0"/>
    <x v="1"/>
    <s v="Uso autorizado"/>
    <s v="'42250206013812000581550020000096791044075032"/>
    <s v="Normal"/>
    <n v="3442.5"/>
    <n v="3442.5"/>
    <n v="0"/>
    <n v="0"/>
    <n v="0"/>
    <n v="137.69999999999999"/>
    <n v="0"/>
    <n v="0"/>
    <n v="0"/>
    <n v="3442.5"/>
    <n v="0"/>
    <n v="3304.8"/>
    <n v="54.53"/>
    <n v="251.16"/>
    <x v="0"/>
    <x v="0"/>
    <m/>
    <m/>
    <n v="0"/>
    <m/>
    <m/>
    <s v="'"/>
    <n v="3442.5"/>
  </r>
  <r>
    <x v="0"/>
    <s v="0009680"/>
    <s v="2"/>
    <s v="NFS"/>
    <s v="37972"/>
    <x v="145"/>
    <x v="9"/>
    <s v="610610"/>
    <x v="0"/>
    <s v="347970"/>
    <s v="'30563332000145"/>
    <s v="SAO MATEUS"/>
    <x v="6"/>
    <x v="1"/>
    <s v="Uso autorizado"/>
    <s v="'42250206013812000581550020000096801179834048"/>
    <s v="Normal"/>
    <n v="11800.7"/>
    <n v="11800.7"/>
    <n v="0"/>
    <n v="0"/>
    <n v="0"/>
    <n v="472.03"/>
    <n v="0"/>
    <n v="0"/>
    <n v="0"/>
    <n v="11800.7"/>
    <n v="0"/>
    <n v="11328.67"/>
    <n v="186.92"/>
    <n v="860.97"/>
    <x v="0"/>
    <x v="0"/>
    <m/>
    <m/>
    <n v="0"/>
    <m/>
    <m/>
    <s v="'"/>
    <n v="11800.7"/>
  </r>
  <r>
    <x v="0"/>
    <s v="0009681"/>
    <s v="2"/>
    <s v="NFS"/>
    <s v="35464"/>
    <x v="162"/>
    <x v="9"/>
    <s v="610611"/>
    <x v="0"/>
    <s v="347983"/>
    <s v="'81405896000190"/>
    <s v="CAMBE"/>
    <x v="5"/>
    <x v="1"/>
    <s v="Uso autorizado"/>
    <s v="'42250206013812000581550020000096811525726284"/>
    <s v="Normal"/>
    <n v="3653.1"/>
    <n v="3653.1"/>
    <n v="0"/>
    <n v="0"/>
    <n v="0"/>
    <n v="146.12"/>
    <n v="0"/>
    <n v="0"/>
    <n v="0"/>
    <n v="3653.1"/>
    <n v="0"/>
    <n v="3506.98"/>
    <n v="57.86"/>
    <n v="266.52999999999997"/>
    <x v="0"/>
    <x v="0"/>
    <m/>
    <m/>
    <n v="0"/>
    <m/>
    <m/>
    <s v="'"/>
    <n v="3653.1"/>
  </r>
  <r>
    <x v="0"/>
    <s v="0009682"/>
    <s v="2"/>
    <s v="NFS"/>
    <s v="12033"/>
    <x v="163"/>
    <x v="9"/>
    <s v="610611"/>
    <x v="0"/>
    <s v="347658"/>
    <s v="'55923239000125"/>
    <s v="CERQUILHO"/>
    <x v="0"/>
    <x v="1"/>
    <s v="Uso autorizado"/>
    <s v="'42250206013812000581550020000096821848543553"/>
    <s v="Normal"/>
    <n v="149.59"/>
    <n v="121.56"/>
    <n v="0"/>
    <n v="0"/>
    <n v="28.03"/>
    <n v="5.98"/>
    <n v="0"/>
    <n v="0"/>
    <n v="0"/>
    <n v="121.56"/>
    <n v="0"/>
    <n v="143.61000000000001"/>
    <n v="2.36"/>
    <n v="10.92"/>
    <x v="0"/>
    <x v="0"/>
    <m/>
    <m/>
    <n v="0"/>
    <m/>
    <m/>
    <s v="'"/>
    <n v="149.59"/>
  </r>
  <r>
    <x v="0"/>
    <s v="0009683"/>
    <s v="2"/>
    <s v="NFS"/>
    <s v="37004"/>
    <x v="133"/>
    <x v="9"/>
    <s v="610610"/>
    <x v="0"/>
    <s v="347848"/>
    <s v="'44416803000105"/>
    <s v="GOIANIA"/>
    <x v="11"/>
    <x v="1"/>
    <s v="Uso autorizado"/>
    <s v="'42250206013812000581550020000096831638251200"/>
    <s v="Normal"/>
    <n v="186.55"/>
    <n v="127.68"/>
    <n v="0"/>
    <n v="0"/>
    <n v="58.87"/>
    <n v="7.46"/>
    <n v="0"/>
    <n v="0"/>
    <n v="0"/>
    <n v="186.55"/>
    <n v="0"/>
    <n v="179.09"/>
    <n v="2.96"/>
    <n v="13.62"/>
    <x v="0"/>
    <x v="0"/>
    <m/>
    <m/>
    <n v="0"/>
    <m/>
    <m/>
    <s v="'"/>
    <n v="186.55"/>
  </r>
  <r>
    <x v="0"/>
    <s v="0009684"/>
    <s v="2"/>
    <s v="NFS"/>
    <s v="34848"/>
    <x v="164"/>
    <x v="9"/>
    <s v="510603"/>
    <x v="5"/>
    <s v="347727"/>
    <s v="'07264472000109"/>
    <s v="BRUSQUE"/>
    <x v="3"/>
    <x v="1"/>
    <s v="Uso autorizado"/>
    <s v="'42250206013812000581550020000096841393525882"/>
    <s v="Normal"/>
    <n v="134.76"/>
    <n v="123.6"/>
    <n v="0"/>
    <n v="0"/>
    <n v="11.16"/>
    <n v="16.170000000000002"/>
    <n v="0"/>
    <n v="0"/>
    <n v="0"/>
    <n v="134.76"/>
    <n v="0"/>
    <n v="118.59"/>
    <n v="1.96"/>
    <n v="9.01"/>
    <x v="0"/>
    <x v="0"/>
    <m/>
    <m/>
    <n v="0"/>
    <m/>
    <m/>
    <s v="'"/>
    <n v="134.76"/>
  </r>
  <r>
    <x v="0"/>
    <s v="0009685"/>
    <s v="2"/>
    <s v="NFS"/>
    <s v="36371"/>
    <x v="165"/>
    <x v="9"/>
    <s v="610610"/>
    <x v="0"/>
    <s v="346077"/>
    <s v="'42524464000147"/>
    <s v="COLATINA"/>
    <x v="6"/>
    <x v="1"/>
    <s v="Uso autorizado"/>
    <s v="'42250206013812000581550020000096851568804030"/>
    <s v="Normal"/>
    <n v="1325.24"/>
    <n v="1215.24"/>
    <n v="0"/>
    <n v="0"/>
    <n v="110"/>
    <n v="53.01"/>
    <n v="0"/>
    <n v="0"/>
    <n v="0"/>
    <n v="1325.24"/>
    <n v="0"/>
    <n v="1272.23"/>
    <n v="20.99"/>
    <n v="96.69"/>
    <x v="0"/>
    <x v="0"/>
    <m/>
    <m/>
    <n v="0"/>
    <m/>
    <m/>
    <s v="'"/>
    <n v="1325.24"/>
  </r>
  <r>
    <x v="0"/>
    <s v="0009686"/>
    <s v="2"/>
    <s v="NFS"/>
    <s v="37414"/>
    <x v="166"/>
    <x v="9"/>
    <s v="69929m"/>
    <x v="7"/>
    <s v="347928"/>
    <s v="'19400392000104"/>
    <s v="DIVINOPOLIS"/>
    <x v="4"/>
    <x v="1"/>
    <s v="Uso autorizado"/>
    <s v="'42250206013812000581550020000096861896381907"/>
    <s v="Normal"/>
    <n v="7.5"/>
    <n v="7.5"/>
    <n v="0"/>
    <n v="0"/>
    <n v="0"/>
    <n v="0.3"/>
    <n v="0"/>
    <n v="0"/>
    <n v="0"/>
    <n v="0"/>
    <n v="0"/>
    <n v="7.2"/>
    <n v="0.12"/>
    <n v="0.55000000000000004"/>
    <x v="0"/>
    <x v="1"/>
    <m/>
    <m/>
    <n v="0"/>
    <m/>
    <m/>
    <s v="'"/>
    <n v="7.5"/>
  </r>
  <r>
    <x v="0"/>
    <s v="0009687"/>
    <s v="2"/>
    <s v="NFS"/>
    <s v="38796"/>
    <x v="45"/>
    <x v="9"/>
    <s v="610611"/>
    <x v="0"/>
    <s v="348025"/>
    <s v="'00170192000184"/>
    <s v="CERQUILHO"/>
    <x v="0"/>
    <x v="1"/>
    <s v="Uso autorizado"/>
    <s v="'42250206013812000581550020000096871261038706"/>
    <s v="Normal"/>
    <n v="2512.1999999999998"/>
    <n v="2512.1999999999998"/>
    <n v="0"/>
    <n v="0"/>
    <n v="0"/>
    <n v="100.49"/>
    <n v="0"/>
    <n v="0"/>
    <n v="0"/>
    <n v="2512.1999999999998"/>
    <n v="0"/>
    <n v="2411.71"/>
    <n v="39.79"/>
    <n v="183.29"/>
    <x v="0"/>
    <x v="0"/>
    <m/>
    <m/>
    <n v="0"/>
    <m/>
    <m/>
    <s v="'"/>
    <n v="2512.1999999999998"/>
  </r>
  <r>
    <x v="0"/>
    <s v="0009688"/>
    <s v="2"/>
    <s v="NFS"/>
    <s v="8398"/>
    <x v="167"/>
    <x v="9"/>
    <s v="610611"/>
    <x v="0"/>
    <s v="347723"/>
    <s v="'02802484000118"/>
    <s v="CORONEL FABRICIANO"/>
    <x v="4"/>
    <x v="1"/>
    <s v="Uso autorizado"/>
    <s v="'42250206013812000581550020000096881178387755"/>
    <s v="Normal"/>
    <n v="147.81"/>
    <n v="90.81"/>
    <n v="0"/>
    <n v="0"/>
    <n v="57"/>
    <n v="5.91"/>
    <n v="0"/>
    <n v="0"/>
    <n v="0"/>
    <n v="90.81"/>
    <n v="0"/>
    <n v="141.9"/>
    <n v="2.34"/>
    <n v="10.79"/>
    <x v="0"/>
    <x v="0"/>
    <m/>
    <m/>
    <n v="0"/>
    <m/>
    <m/>
    <s v="'"/>
    <n v="147.81"/>
  </r>
  <r>
    <x v="0"/>
    <s v="0009689"/>
    <s v="2"/>
    <s v="NFS"/>
    <s v="35689"/>
    <x v="168"/>
    <x v="9"/>
    <s v="610611"/>
    <x v="0"/>
    <s v="347996"/>
    <s v="'03609426000135"/>
    <s v="PETROPOLIS"/>
    <x v="2"/>
    <x v="1"/>
    <s v="Uso autorizado"/>
    <s v="'42250206013812000581550020000096891470034058"/>
    <s v="Normal"/>
    <n v="3134.79"/>
    <n v="3134.79"/>
    <n v="0"/>
    <n v="0"/>
    <n v="0"/>
    <n v="125.39"/>
    <n v="0"/>
    <n v="0"/>
    <n v="0"/>
    <n v="3134.79"/>
    <n v="0"/>
    <n v="3009.4"/>
    <n v="49.65"/>
    <n v="228.71"/>
    <x v="0"/>
    <x v="0"/>
    <m/>
    <m/>
    <n v="0"/>
    <m/>
    <m/>
    <s v="'"/>
    <n v="3134.79"/>
  </r>
  <r>
    <x v="0"/>
    <s v="0009690"/>
    <s v="2"/>
    <s v="NFS"/>
    <s v="40291"/>
    <x v="32"/>
    <x v="9"/>
    <s v="612305"/>
    <x v="1"/>
    <s v="348021"/>
    <s v="'57519718000106"/>
    <s v="FARROUPILHA"/>
    <x v="7"/>
    <x v="1"/>
    <s v="Uso autorizado"/>
    <s v="'42250206013812000581550020000096901162986288"/>
    <s v="Normal"/>
    <n v="3538.08"/>
    <n v="3538.08"/>
    <n v="0"/>
    <n v="0"/>
    <n v="0"/>
    <n v="141.52000000000001"/>
    <n v="0"/>
    <n v="0"/>
    <n v="0"/>
    <n v="3538.08"/>
    <n v="0"/>
    <n v="3396.56"/>
    <n v="56.04"/>
    <n v="258.14"/>
    <x v="0"/>
    <x v="0"/>
    <n v="9691"/>
    <n v="2"/>
    <n v="40291"/>
    <s v="SOZO COMERCIO E CONFECCOES LTDA"/>
    <d v="2025-02-13T00:00:00"/>
    <s v="'42250206013812000581550020000096911329922935"/>
    <n v="3538.08"/>
  </r>
  <r>
    <x v="0"/>
    <s v="0009691"/>
    <s v="2"/>
    <s v="NFS"/>
    <s v="39900"/>
    <x v="33"/>
    <x v="9"/>
    <s v="612302"/>
    <x v="2"/>
    <m/>
    <s v="'34424573000164"/>
    <s v="FARROUPILHA"/>
    <x v="7"/>
    <x v="1"/>
    <s v="Uso autorizado"/>
    <s v="'42250206013812000581550020000096911329922935"/>
    <s v="Normal"/>
    <n v="3538.08"/>
    <n v="3538.08"/>
    <n v="0"/>
    <n v="0"/>
    <n v="0"/>
    <n v="0"/>
    <n v="0"/>
    <n v="3538.08"/>
    <n v="0"/>
    <n v="3538.08"/>
    <n v="0"/>
    <n v="0"/>
    <n v="0"/>
    <n v="0"/>
    <x v="0"/>
    <x v="1"/>
    <n v="9690"/>
    <n v="2"/>
    <n v="39900"/>
    <s v="LIELL CONFECCOES LTDA"/>
    <d v="2025-02-13T00:00:00"/>
    <s v="'42250206013812000581550020000096901162986288"/>
    <n v="0"/>
  </r>
  <r>
    <x v="0"/>
    <s v="0009692"/>
    <s v="2"/>
    <s v="NFS"/>
    <s v="17860"/>
    <x v="169"/>
    <x v="9"/>
    <s v="69929m"/>
    <x v="7"/>
    <s v="347890"/>
    <s v="'07258383000141"/>
    <s v="AMERICANA"/>
    <x v="0"/>
    <x v="1"/>
    <s v="Uso autorizado"/>
    <s v="'42250206013812000581550020000096921986995979"/>
    <s v="Normal"/>
    <n v="30"/>
    <n v="30"/>
    <n v="0"/>
    <n v="0"/>
    <n v="0"/>
    <n v="1.2"/>
    <n v="0"/>
    <n v="0"/>
    <n v="0"/>
    <n v="0"/>
    <n v="0"/>
    <n v="28.8"/>
    <n v="0.48"/>
    <n v="2.1800000000000002"/>
    <x v="0"/>
    <x v="1"/>
    <m/>
    <m/>
    <n v="0"/>
    <m/>
    <m/>
    <s v="'"/>
    <n v="30"/>
  </r>
  <r>
    <x v="0"/>
    <s v="0009693"/>
    <s v="2"/>
    <s v="NFS"/>
    <s v="36825"/>
    <x v="170"/>
    <x v="9"/>
    <s v="610611"/>
    <x v="0"/>
    <s v="348015"/>
    <s v="'42224968000141"/>
    <s v="LONDRINA"/>
    <x v="5"/>
    <x v="1"/>
    <s v="Uso autorizado"/>
    <s v="'42250206013812000581550020000096931762215276"/>
    <s v="Normal"/>
    <n v="3621.8"/>
    <n v="3621.8"/>
    <n v="0"/>
    <n v="0"/>
    <n v="0"/>
    <n v="144.87"/>
    <n v="0"/>
    <n v="0"/>
    <n v="0"/>
    <n v="3621.8"/>
    <n v="0"/>
    <n v="3476.93"/>
    <n v="57.37"/>
    <n v="264.25"/>
    <x v="0"/>
    <x v="0"/>
    <m/>
    <m/>
    <n v="0"/>
    <m/>
    <m/>
    <s v="'"/>
    <n v="3621.8"/>
  </r>
  <r>
    <x v="0"/>
    <s v="0009694"/>
    <s v="2"/>
    <s v="NFS"/>
    <s v="30820"/>
    <x v="171"/>
    <x v="10"/>
    <s v="610611"/>
    <x v="0"/>
    <s v="347912"/>
    <s v="'60074945000180"/>
    <s v="TIETE"/>
    <x v="0"/>
    <x v="1"/>
    <s v="Uso autorizado"/>
    <s v="'42250206013812000581550020000096941507552081"/>
    <s v="Normal"/>
    <n v="57.35"/>
    <n v="30.4"/>
    <n v="0"/>
    <n v="0"/>
    <n v="26.95"/>
    <n v="2.29"/>
    <n v="0"/>
    <n v="0"/>
    <n v="0"/>
    <n v="30.4"/>
    <n v="0"/>
    <n v="55.06"/>
    <n v="0.91"/>
    <n v="4.18"/>
    <x v="0"/>
    <x v="0"/>
    <m/>
    <m/>
    <n v="0"/>
    <m/>
    <m/>
    <s v="'"/>
    <n v="57.35"/>
  </r>
  <r>
    <x v="0"/>
    <s v="0009695"/>
    <s v="2"/>
    <s v="NFS"/>
    <s v="13174"/>
    <x v="172"/>
    <x v="10"/>
    <s v="610611"/>
    <x v="0"/>
    <s v="348022"/>
    <s v="'01854906000136"/>
    <s v="CIANORTE"/>
    <x v="5"/>
    <x v="1"/>
    <s v="Uso autorizado"/>
    <s v="'42250206013812000581550020000096951486234741"/>
    <s v="Normal"/>
    <n v="87.26"/>
    <n v="44.1"/>
    <n v="0"/>
    <n v="0"/>
    <n v="43.16"/>
    <n v="3.49"/>
    <n v="0"/>
    <n v="0"/>
    <n v="0"/>
    <n v="44.1"/>
    <n v="0"/>
    <n v="83.77"/>
    <n v="1.38"/>
    <n v="6.37"/>
    <x v="0"/>
    <x v="0"/>
    <m/>
    <m/>
    <n v="0"/>
    <m/>
    <m/>
    <s v="'"/>
    <n v="87.26"/>
  </r>
  <r>
    <x v="0"/>
    <s v="0009696"/>
    <s v="2"/>
    <s v="NFS"/>
    <s v="31986"/>
    <x v="173"/>
    <x v="10"/>
    <s v="69929m"/>
    <x v="7"/>
    <s v="346939"/>
    <s v="'13806901000117"/>
    <s v="SAO JOSE DO RIO PRETO"/>
    <x v="0"/>
    <x v="1"/>
    <s v="Uso autorizado"/>
    <s v="'42250206013812000581550020000096961055013077"/>
    <s v="Normal"/>
    <n v="30"/>
    <n v="30"/>
    <n v="0"/>
    <n v="0"/>
    <n v="0"/>
    <n v="1.2"/>
    <n v="0"/>
    <n v="0"/>
    <n v="0"/>
    <n v="0"/>
    <n v="0"/>
    <n v="28.8"/>
    <n v="0.48"/>
    <n v="2.1800000000000002"/>
    <x v="0"/>
    <x v="1"/>
    <m/>
    <m/>
    <n v="0"/>
    <m/>
    <m/>
    <s v="'"/>
    <n v="30"/>
  </r>
  <r>
    <x v="0"/>
    <s v="0009697"/>
    <s v="2"/>
    <s v="NFS"/>
    <s v="40488"/>
    <x v="174"/>
    <x v="10"/>
    <s v="610611"/>
    <x v="0"/>
    <s v="347466"/>
    <s v="'04293765000118"/>
    <s v="SAO PAULO"/>
    <x v="0"/>
    <x v="1"/>
    <s v="Uso autorizado"/>
    <s v="'42250206013812000581550020000096971096668768"/>
    <s v="Normal"/>
    <n v="239.2"/>
    <n v="239.2"/>
    <n v="0"/>
    <n v="0"/>
    <n v="0"/>
    <n v="9.57"/>
    <n v="0"/>
    <n v="0"/>
    <n v="0"/>
    <n v="239.2"/>
    <n v="0"/>
    <n v="229.63"/>
    <n v="3.79"/>
    <n v="17.45"/>
    <x v="0"/>
    <x v="0"/>
    <m/>
    <m/>
    <n v="0"/>
    <m/>
    <m/>
    <s v="'"/>
    <n v="239.2"/>
  </r>
  <r>
    <x v="0"/>
    <s v="0009698"/>
    <s v="2"/>
    <s v="NFS"/>
    <s v="37972"/>
    <x v="145"/>
    <x v="10"/>
    <s v="69929m"/>
    <x v="7"/>
    <s v="347224"/>
    <s v="'30563332000145"/>
    <s v="SAO MATEUS"/>
    <x v="6"/>
    <x v="1"/>
    <s v="Uso autorizado"/>
    <s v="'42250206013812000581550020000096981462183545"/>
    <s v="Normal"/>
    <n v="7.5"/>
    <n v="7.5"/>
    <n v="0"/>
    <n v="0"/>
    <n v="0"/>
    <n v="0.3"/>
    <n v="0"/>
    <n v="0"/>
    <n v="0"/>
    <n v="0"/>
    <n v="0"/>
    <n v="7.2"/>
    <n v="0.12"/>
    <n v="0.55000000000000004"/>
    <x v="0"/>
    <x v="1"/>
    <m/>
    <m/>
    <n v="0"/>
    <m/>
    <m/>
    <s v="'"/>
    <n v="7.5"/>
  </r>
  <r>
    <x v="0"/>
    <s v="0009699"/>
    <s v="2"/>
    <s v="NFS"/>
    <s v="27690"/>
    <x v="175"/>
    <x v="10"/>
    <s v="510603"/>
    <x v="5"/>
    <s v="347704"/>
    <s v="'12648070000130"/>
    <s v="JOINVILLE"/>
    <x v="3"/>
    <x v="1"/>
    <s v="Uso autorizado"/>
    <s v="'42250206013812000581550020000096991536339370"/>
    <s v="Normal"/>
    <n v="3884.66"/>
    <n v="3884.66"/>
    <n v="0"/>
    <n v="0"/>
    <n v="0"/>
    <n v="466.16"/>
    <n v="0"/>
    <n v="0"/>
    <n v="0"/>
    <n v="3884.66"/>
    <n v="0"/>
    <n v="3418.5"/>
    <n v="56.4"/>
    <n v="259.8"/>
    <x v="0"/>
    <x v="0"/>
    <m/>
    <m/>
    <n v="0"/>
    <m/>
    <m/>
    <s v="'"/>
    <n v="3884.66"/>
  </r>
  <r>
    <x v="0"/>
    <s v="0009700"/>
    <s v="2"/>
    <s v="NFS"/>
    <s v="39556"/>
    <x v="176"/>
    <x v="10"/>
    <s v="610611"/>
    <x v="0"/>
    <s v="347873"/>
    <s v="'42673927000132"/>
    <s v="SAO PAULO"/>
    <x v="0"/>
    <x v="1"/>
    <s v="Uso autorizado"/>
    <s v="'42250206013812000581550020000097001676866384"/>
    <s v="Normal"/>
    <n v="9684.15"/>
    <n v="9684.15"/>
    <n v="0"/>
    <n v="0"/>
    <n v="0"/>
    <n v="387.37"/>
    <n v="0"/>
    <n v="0"/>
    <n v="0"/>
    <n v="9684.15"/>
    <n v="0"/>
    <n v="9296.7800000000007"/>
    <n v="153.4"/>
    <n v="706.56"/>
    <x v="0"/>
    <x v="0"/>
    <m/>
    <m/>
    <n v="0"/>
    <m/>
    <m/>
    <s v="'"/>
    <n v="9684.15"/>
  </r>
  <r>
    <x v="0"/>
    <s v="0009701"/>
    <s v="2"/>
    <s v="NFS"/>
    <s v="39282"/>
    <x v="177"/>
    <x v="10"/>
    <s v="510604"/>
    <x v="5"/>
    <s v="347816"/>
    <s v="'03264318000178"/>
    <s v="BRUSQUE"/>
    <x v="3"/>
    <x v="1"/>
    <s v="Uso autorizado"/>
    <s v="'42250206013812000581550020000097011436828027"/>
    <s v="Normal"/>
    <n v="7782.42"/>
    <n v="7537.46"/>
    <n v="0"/>
    <n v="0"/>
    <n v="0"/>
    <n v="301.5"/>
    <n v="0"/>
    <n v="0"/>
    <n v="244.96"/>
    <n v="0"/>
    <n v="0"/>
    <n v="7235.96"/>
    <n v="119.39"/>
    <n v="549.92999999999995"/>
    <x v="0"/>
    <x v="0"/>
    <m/>
    <m/>
    <n v="0"/>
    <m/>
    <m/>
    <s v="'"/>
    <n v="7537.46"/>
  </r>
  <r>
    <x v="0"/>
    <s v="0009702"/>
    <s v="2"/>
    <s v="NFS"/>
    <s v="31572"/>
    <x v="178"/>
    <x v="10"/>
    <s v="510605"/>
    <x v="5"/>
    <s v="347952"/>
    <s v="'05360791000184"/>
    <s v="CRICIUMA"/>
    <x v="3"/>
    <x v="1"/>
    <s v="Uso autorizado"/>
    <s v="'42250206013812000581550020000097021944699199"/>
    <s v="Normal"/>
    <n v="17281.88"/>
    <n v="17281.88"/>
    <n v="0"/>
    <n v="0"/>
    <n v="0"/>
    <n v="691.28"/>
    <n v="0"/>
    <n v="0"/>
    <n v="0"/>
    <n v="17281.88"/>
    <n v="0"/>
    <n v="16590.599999999999"/>
    <n v="273.75"/>
    <n v="1260.8800000000001"/>
    <x v="0"/>
    <x v="0"/>
    <m/>
    <m/>
    <n v="0"/>
    <m/>
    <m/>
    <s v="'"/>
    <n v="17281.88"/>
  </r>
  <r>
    <x v="0"/>
    <s v="0009703"/>
    <s v="2"/>
    <s v="NFS"/>
    <s v="24177"/>
    <x v="179"/>
    <x v="10"/>
    <s v="610610"/>
    <x v="0"/>
    <s v="348055"/>
    <s v="'37662749000104"/>
    <s v="GOIANIA"/>
    <x v="11"/>
    <x v="1"/>
    <s v="Uso autorizado"/>
    <s v="'42250206013812000581550020000097031215845195"/>
    <s v="Normal"/>
    <n v="9549.9699999999993"/>
    <n v="9423.9"/>
    <n v="0"/>
    <n v="0"/>
    <n v="126.07"/>
    <n v="382"/>
    <n v="0"/>
    <n v="0"/>
    <n v="0"/>
    <n v="9549.9699999999993"/>
    <n v="0"/>
    <n v="9167.9699999999993"/>
    <n v="151.29"/>
    <n v="696.77"/>
    <x v="0"/>
    <x v="0"/>
    <m/>
    <m/>
    <n v="0"/>
    <m/>
    <m/>
    <s v="'"/>
    <n v="9549.9699999999993"/>
  </r>
  <r>
    <x v="0"/>
    <s v="0009704"/>
    <s v="2"/>
    <s v="NFS"/>
    <s v="16491"/>
    <x v="180"/>
    <x v="10"/>
    <s v="610610"/>
    <x v="0"/>
    <s v="347963"/>
    <s v="'03328494000126"/>
    <s v="VILA VELHA"/>
    <x v="6"/>
    <x v="1"/>
    <s v="Uso autorizado"/>
    <s v="'42250206013812000581550020000097041188727201"/>
    <s v="Normal"/>
    <n v="3738"/>
    <n v="3738"/>
    <n v="0"/>
    <n v="0"/>
    <n v="0"/>
    <n v="149.52000000000001"/>
    <n v="0"/>
    <n v="0"/>
    <n v="0"/>
    <n v="3738"/>
    <n v="0"/>
    <n v="3588.48"/>
    <n v="59.2"/>
    <n v="272.72000000000003"/>
    <x v="0"/>
    <x v="0"/>
    <m/>
    <m/>
    <n v="0"/>
    <m/>
    <m/>
    <s v="'"/>
    <n v="3738"/>
  </r>
  <r>
    <x v="0"/>
    <s v="0009705"/>
    <s v="2"/>
    <s v="NFS"/>
    <s v="25872"/>
    <x v="181"/>
    <x v="10"/>
    <s v="610610"/>
    <x v="0"/>
    <s v="347943"/>
    <s v="'02610419000190"/>
    <s v="CARUARU"/>
    <x v="1"/>
    <x v="1"/>
    <s v="Uso autorizado"/>
    <s v="'42250206013812000581550020000097051102843027"/>
    <s v="Normal"/>
    <n v="204.26"/>
    <n v="204.26"/>
    <n v="0"/>
    <n v="0"/>
    <n v="0"/>
    <n v="8.17"/>
    <n v="0"/>
    <n v="0"/>
    <n v="0"/>
    <n v="204.26"/>
    <n v="0"/>
    <n v="196.09"/>
    <n v="3.24"/>
    <n v="14.9"/>
    <x v="0"/>
    <x v="0"/>
    <m/>
    <m/>
    <n v="0"/>
    <m/>
    <m/>
    <s v="'"/>
    <n v="204.26"/>
  </r>
  <r>
    <x v="0"/>
    <s v="0009706"/>
    <s v="2"/>
    <s v="NFS"/>
    <s v="32234"/>
    <x v="182"/>
    <x v="10"/>
    <s v="610611"/>
    <x v="0"/>
    <s v="346626"/>
    <s v="'27117243000160"/>
    <s v="SAO PAULO"/>
    <x v="0"/>
    <x v="1"/>
    <s v="Uso autorizado"/>
    <s v="'42250206013812000581550020000097061130912957"/>
    <s v="Normal"/>
    <n v="14804.4"/>
    <n v="14804.4"/>
    <n v="0"/>
    <n v="0"/>
    <n v="0"/>
    <n v="592.17999999999995"/>
    <n v="0"/>
    <n v="0"/>
    <n v="0"/>
    <n v="14804.4"/>
    <n v="0"/>
    <n v="14212.22"/>
    <n v="234.5"/>
    <n v="1080.1300000000001"/>
    <x v="0"/>
    <x v="0"/>
    <m/>
    <m/>
    <n v="0"/>
    <m/>
    <m/>
    <s v="'"/>
    <n v="14804.4"/>
  </r>
  <r>
    <x v="0"/>
    <s v="0009707"/>
    <s v="2"/>
    <s v="NFS"/>
    <s v="40443"/>
    <x v="183"/>
    <x v="10"/>
    <s v="610611"/>
    <x v="0"/>
    <s v="347828"/>
    <s v="'09658254000176"/>
    <s v="SAO PAULO"/>
    <x v="0"/>
    <x v="1"/>
    <s v="Uso autorizado"/>
    <s v="'42250206013812000581550020000097071750512073"/>
    <s v="Normal"/>
    <n v="4239"/>
    <n v="4239"/>
    <n v="0"/>
    <n v="0"/>
    <n v="0"/>
    <n v="169.56"/>
    <n v="0"/>
    <n v="0"/>
    <n v="0"/>
    <n v="4239"/>
    <n v="0"/>
    <n v="4069.44"/>
    <n v="67.150000000000006"/>
    <n v="309.27999999999997"/>
    <x v="0"/>
    <x v="0"/>
    <m/>
    <m/>
    <n v="0"/>
    <m/>
    <m/>
    <s v="'"/>
    <n v="4239"/>
  </r>
  <r>
    <x v="0"/>
    <s v="0009708"/>
    <s v="2"/>
    <s v="NFS"/>
    <s v="39926"/>
    <x v="184"/>
    <x v="10"/>
    <s v="610611"/>
    <x v="0"/>
    <s v="347961"/>
    <s v="'33150569000192"/>
    <s v="SAO PAULO"/>
    <x v="0"/>
    <x v="1"/>
    <s v="Uso autorizado"/>
    <s v="'42250206013812000581550020000097081194395362"/>
    <s v="Normal"/>
    <n v="9651.2999999999993"/>
    <n v="9651.2999999999993"/>
    <n v="0"/>
    <n v="0"/>
    <n v="0"/>
    <n v="386.05"/>
    <n v="0"/>
    <n v="0"/>
    <n v="0"/>
    <n v="9651.2999999999993"/>
    <n v="0"/>
    <n v="9265.25"/>
    <n v="152.88"/>
    <n v="704.16"/>
    <x v="0"/>
    <x v="0"/>
    <m/>
    <m/>
    <n v="0"/>
    <m/>
    <m/>
    <s v="'"/>
    <n v="9651.2999999999993"/>
  </r>
  <r>
    <x v="0"/>
    <s v="0009709"/>
    <s v="2"/>
    <s v="NFS"/>
    <s v="28128"/>
    <x v="129"/>
    <x v="10"/>
    <s v="510603"/>
    <x v="5"/>
    <s v="348041"/>
    <s v="'10617324000127"/>
    <s v="SOMBRIO"/>
    <x v="3"/>
    <x v="1"/>
    <s v="Uso autorizado"/>
    <s v="'42250206013812000581550020000097091089970813"/>
    <s v="Normal"/>
    <n v="2343.87"/>
    <n v="2270.1"/>
    <n v="0"/>
    <n v="0"/>
    <n v="0"/>
    <n v="272.41000000000003"/>
    <n v="0"/>
    <n v="0"/>
    <n v="73.77"/>
    <n v="0"/>
    <n v="0"/>
    <n v="1997.69"/>
    <n v="32.96"/>
    <n v="151.82"/>
    <x v="0"/>
    <x v="0"/>
    <m/>
    <m/>
    <n v="0"/>
    <m/>
    <m/>
    <s v="'"/>
    <n v="2270.1"/>
  </r>
  <r>
    <x v="0"/>
    <s v="0009710"/>
    <s v="2"/>
    <s v="NFS"/>
    <s v="19923"/>
    <x v="90"/>
    <x v="10"/>
    <s v="512301"/>
    <x v="10"/>
    <s v="348072"/>
    <s v="'00933691000186"/>
    <s v="MASSARANDUBA"/>
    <x v="3"/>
    <x v="1"/>
    <s v="Uso autorizado"/>
    <s v="'42250206013812000581550020000097101798722499"/>
    <s v="Normal"/>
    <n v="3750"/>
    <n v="3750"/>
    <n v="0"/>
    <n v="0"/>
    <n v="0"/>
    <n v="150"/>
    <n v="0"/>
    <n v="0"/>
    <n v="0"/>
    <n v="3750"/>
    <n v="0"/>
    <n v="3600"/>
    <n v="59.4"/>
    <n v="273.60000000000002"/>
    <x v="0"/>
    <x v="0"/>
    <n v="9711"/>
    <n v="2"/>
    <n v="19923"/>
    <s v="SIVALSKI INDUSTRIA TEXTIL LTDA"/>
    <d v="2025-02-14T00:00:00"/>
    <s v="'42250206013812000581550020000097111251590772"/>
    <n v="3750"/>
  </r>
  <r>
    <x v="0"/>
    <s v="0009711"/>
    <s v="2"/>
    <s v="NFS"/>
    <s v="38757"/>
    <x v="91"/>
    <x v="10"/>
    <s v="51212"/>
    <x v="11"/>
    <m/>
    <s v="'38830601000102"/>
    <s v="MASSARANDUBA"/>
    <x v="3"/>
    <x v="1"/>
    <s v="Uso autorizado"/>
    <s v="'42250206013812000581550020000097111251590772"/>
    <s v="Normal"/>
    <n v="3750"/>
    <n v="3750"/>
    <n v="0"/>
    <n v="0"/>
    <n v="0"/>
    <n v="0"/>
    <n v="3750"/>
    <n v="0"/>
    <n v="0"/>
    <n v="3750"/>
    <n v="0"/>
    <n v="0"/>
    <n v="0"/>
    <n v="0"/>
    <x v="0"/>
    <x v="1"/>
    <n v="9710"/>
    <n v="2"/>
    <n v="38757"/>
    <s v="MK SERVICOS TEXTEIS LTDA"/>
    <d v="2025-02-14T00:00:00"/>
    <s v="'42250206013812000581550020000097101798722499"/>
    <n v="0"/>
  </r>
  <r>
    <x v="0"/>
    <s v="0009712"/>
    <s v="2"/>
    <s v="NFS"/>
    <s v="31869"/>
    <x v="185"/>
    <x v="10"/>
    <s v="610611"/>
    <x v="0"/>
    <s v="347422"/>
    <s v="'60368669000162"/>
    <s v="SAO PAULO"/>
    <x v="0"/>
    <x v="1"/>
    <s v="Uso autorizado"/>
    <s v="'42250206013812000581550020000097121363397335"/>
    <s v="Normal"/>
    <n v="5006.3999999999996"/>
    <n v="5006.3999999999996"/>
    <n v="0"/>
    <n v="0"/>
    <n v="0"/>
    <n v="200.26"/>
    <n v="0"/>
    <n v="0"/>
    <n v="0"/>
    <n v="5006.3999999999996"/>
    <n v="0"/>
    <n v="4806.1400000000003"/>
    <n v="79.3"/>
    <n v="365.26"/>
    <x v="0"/>
    <x v="0"/>
    <m/>
    <m/>
    <n v="0"/>
    <m/>
    <m/>
    <s v="'"/>
    <n v="5006.3999999999996"/>
  </r>
  <r>
    <x v="0"/>
    <s v="0009713"/>
    <s v="2"/>
    <s v="NFS"/>
    <s v="39072"/>
    <x v="186"/>
    <x v="10"/>
    <s v="610611"/>
    <x v="0"/>
    <s v="346344"/>
    <s v="'23777863000256"/>
    <s v="SAO PAULO"/>
    <x v="0"/>
    <x v="1"/>
    <s v="Uso autorizado"/>
    <s v="'42250206013812000581550020000097131915992952"/>
    <s v="Normal"/>
    <n v="16560.919999999998"/>
    <n v="16560.919999999998"/>
    <n v="0"/>
    <n v="0"/>
    <n v="0"/>
    <n v="662.44"/>
    <n v="0"/>
    <n v="0"/>
    <n v="0"/>
    <n v="16560.919999999998"/>
    <n v="0"/>
    <n v="15898.48"/>
    <n v="262.33"/>
    <n v="1208.28"/>
    <x v="0"/>
    <x v="0"/>
    <m/>
    <m/>
    <n v="0"/>
    <m/>
    <m/>
    <s v="'"/>
    <n v="16560.919999999998"/>
  </r>
  <r>
    <x v="0"/>
    <s v="0009714"/>
    <s v="2"/>
    <s v="NFS"/>
    <s v="40443"/>
    <x v="183"/>
    <x v="10"/>
    <s v="610611"/>
    <x v="0"/>
    <s v="346386"/>
    <s v="'09658254000176"/>
    <s v="SAO PAULO"/>
    <x v="0"/>
    <x v="1"/>
    <s v="Uso autorizado"/>
    <s v="'42250206013812000581550020000097141403855791"/>
    <s v="Normal"/>
    <n v="6601.5"/>
    <n v="6601.5"/>
    <n v="0"/>
    <n v="0"/>
    <n v="0"/>
    <n v="264.06"/>
    <n v="0"/>
    <n v="0"/>
    <n v="0"/>
    <n v="6601.5"/>
    <n v="0"/>
    <n v="6337.44"/>
    <n v="104.57"/>
    <n v="481.65"/>
    <x v="0"/>
    <x v="0"/>
    <m/>
    <m/>
    <n v="0"/>
    <m/>
    <m/>
    <s v="'"/>
    <n v="6601.5"/>
  </r>
  <r>
    <x v="0"/>
    <s v="0009715"/>
    <s v="2"/>
    <s v="NFS"/>
    <s v="39980"/>
    <x v="187"/>
    <x v="10"/>
    <s v="612305"/>
    <x v="1"/>
    <s v="348027"/>
    <s v="'51167854000106"/>
    <s v="SAO PAULO"/>
    <x v="0"/>
    <x v="1"/>
    <s v="Uso autorizado"/>
    <s v="'42250206013812000581550020000097151268921369"/>
    <s v="Normal"/>
    <n v="1323"/>
    <n v="1323"/>
    <n v="0"/>
    <n v="0"/>
    <n v="0"/>
    <n v="52.92"/>
    <n v="0"/>
    <n v="0"/>
    <n v="42.99"/>
    <n v="1323"/>
    <n v="0"/>
    <n v="1270.08"/>
    <n v="20.96"/>
    <n v="96.53"/>
    <x v="0"/>
    <x v="0"/>
    <n v="9716"/>
    <n v="2"/>
    <n v="39980"/>
    <s v="51 167 854 LUIS ALBERTO VILLALBA"/>
    <d v="2025-02-14T00:00:00"/>
    <s v="'42250206013812000581550020000097161010991040"/>
    <n v="1323"/>
  </r>
  <r>
    <x v="0"/>
    <s v="0009716"/>
    <s v="2"/>
    <s v="NFS"/>
    <s v="39984"/>
    <x v="188"/>
    <x v="10"/>
    <s v="612302"/>
    <x v="2"/>
    <m/>
    <s v="'28066676000105"/>
    <s v="SAO PAULO"/>
    <x v="0"/>
    <x v="1"/>
    <s v="Uso autorizado"/>
    <s v="'42250206013812000581550020000097161010991040"/>
    <s v="Normal"/>
    <n v="1323"/>
    <n v="1323"/>
    <n v="0"/>
    <n v="0"/>
    <n v="0"/>
    <n v="0"/>
    <n v="0"/>
    <n v="1323"/>
    <n v="0"/>
    <n v="1323"/>
    <n v="0"/>
    <n v="0"/>
    <n v="0"/>
    <n v="0"/>
    <x v="0"/>
    <x v="1"/>
    <n v="9715"/>
    <n v="2"/>
    <n v="39984"/>
    <s v="VINICIUS ALVES COSTA 35621215800"/>
    <d v="2025-02-14T00:00:00"/>
    <s v="'42250206013812000581550020000097151268921369"/>
    <n v="0"/>
  </r>
  <r>
    <x v="0"/>
    <s v="0009717"/>
    <s v="2"/>
    <s v="NFS"/>
    <s v="40423"/>
    <x v="189"/>
    <x v="10"/>
    <s v="69929m"/>
    <x v="7"/>
    <s v="345942"/>
    <s v="'52263486000154"/>
    <s v="SAO PAULO"/>
    <x v="0"/>
    <x v="1"/>
    <s v="Uso autorizado"/>
    <s v="'42250206013812000581550020000097171902503884"/>
    <s v="Normal"/>
    <n v="15"/>
    <n v="15"/>
    <n v="0"/>
    <n v="0"/>
    <n v="0"/>
    <n v="0.6"/>
    <n v="0"/>
    <n v="0"/>
    <n v="0"/>
    <n v="0"/>
    <n v="0"/>
    <n v="14.4"/>
    <n v="0.24"/>
    <n v="1.0900000000000001"/>
    <x v="0"/>
    <x v="1"/>
    <m/>
    <m/>
    <n v="0"/>
    <m/>
    <m/>
    <s v="'"/>
    <n v="15"/>
  </r>
  <r>
    <x v="0"/>
    <s v="0009718"/>
    <s v="2"/>
    <s v="NFS"/>
    <s v="40448"/>
    <x v="190"/>
    <x v="10"/>
    <s v="69929m"/>
    <x v="7"/>
    <s v="346726"/>
    <s v="'31996056000171"/>
    <s v="SAO PAULO"/>
    <x v="0"/>
    <x v="1"/>
    <s v="Uso autorizado"/>
    <s v="'42250206013812000581550020000097181424550387"/>
    <s v="Normal"/>
    <n v="14.55"/>
    <n v="14.55"/>
    <n v="0"/>
    <n v="0"/>
    <n v="0"/>
    <n v="0.57999999999999996"/>
    <n v="0"/>
    <n v="0"/>
    <n v="0"/>
    <n v="0"/>
    <n v="0"/>
    <n v="13.97"/>
    <n v="0.23"/>
    <n v="1.06"/>
    <x v="0"/>
    <x v="1"/>
    <m/>
    <m/>
    <n v="0"/>
    <m/>
    <m/>
    <s v="'"/>
    <n v="14.55"/>
  </r>
  <r>
    <x v="0"/>
    <s v="0009719"/>
    <s v="2"/>
    <s v="NFS"/>
    <s v="40020"/>
    <x v="139"/>
    <x v="10"/>
    <s v="69929m"/>
    <x v="7"/>
    <s v="346413"/>
    <s v="'31245809000107"/>
    <s v="SAO PAULO"/>
    <x v="0"/>
    <x v="1"/>
    <s v="Uso autorizado"/>
    <s v="'42250206013812000581550020000097191781328887"/>
    <s v="Normal"/>
    <n v="15"/>
    <n v="15"/>
    <n v="0"/>
    <n v="0"/>
    <n v="0"/>
    <n v="0.6"/>
    <n v="0"/>
    <n v="0"/>
    <n v="0"/>
    <n v="0"/>
    <n v="0"/>
    <n v="14.4"/>
    <n v="0.24"/>
    <n v="1.0900000000000001"/>
    <x v="0"/>
    <x v="1"/>
    <m/>
    <m/>
    <n v="0"/>
    <m/>
    <m/>
    <s v="'"/>
    <n v="15"/>
  </r>
  <r>
    <x v="0"/>
    <s v="0009720"/>
    <s v="2"/>
    <s v="NFS"/>
    <s v="21084"/>
    <x v="191"/>
    <x v="10"/>
    <s v="510603"/>
    <x v="5"/>
    <s v="346933"/>
    <s v="'72166366000146"/>
    <s v="CRICIUMA"/>
    <x v="3"/>
    <x v="1"/>
    <s v="Uso autorizado"/>
    <s v="'42250206013812000581550020000097201798595795"/>
    <s v="Normal"/>
    <n v="682.8"/>
    <n v="682.8"/>
    <n v="0"/>
    <n v="0"/>
    <n v="0"/>
    <n v="81.94"/>
    <n v="0"/>
    <n v="0"/>
    <n v="0"/>
    <n v="682.8"/>
    <n v="0"/>
    <n v="600.86"/>
    <n v="9.9"/>
    <n v="45.66"/>
    <x v="0"/>
    <x v="0"/>
    <m/>
    <m/>
    <n v="0"/>
    <m/>
    <m/>
    <s v="'"/>
    <n v="682.8"/>
  </r>
  <r>
    <x v="0"/>
    <s v="0009721"/>
    <s v="2"/>
    <s v="NFS"/>
    <s v="36915"/>
    <x v="192"/>
    <x v="10"/>
    <s v="510602"/>
    <x v="5"/>
    <s v="347969"/>
    <s v="'08906199000123"/>
    <s v="BLUMENAU"/>
    <x v="3"/>
    <x v="1"/>
    <s v="Uso autorizado"/>
    <s v="'42250206013812000581550020000097211915924460"/>
    <s v="Normal"/>
    <n v="96.87"/>
    <n v="96.87"/>
    <n v="0"/>
    <n v="0"/>
    <n v="0"/>
    <n v="9.69"/>
    <n v="0"/>
    <n v="0"/>
    <n v="0"/>
    <n v="96.87"/>
    <n v="0"/>
    <n v="87.18"/>
    <n v="1.44"/>
    <n v="6.63"/>
    <x v="0"/>
    <x v="0"/>
    <m/>
    <m/>
    <n v="0"/>
    <m/>
    <m/>
    <s v="'"/>
    <n v="96.87"/>
  </r>
  <r>
    <x v="0"/>
    <s v="0009722"/>
    <s v="2"/>
    <s v="NFS"/>
    <s v="39316"/>
    <x v="193"/>
    <x v="10"/>
    <s v="610611"/>
    <x v="0"/>
    <s v="348092"/>
    <s v="'08732601000109"/>
    <s v="SAO SEBASTIAO DO CAI"/>
    <x v="7"/>
    <x v="1"/>
    <s v="Uso autorizado"/>
    <s v="'42250206013812000581550020000097221336889644"/>
    <s v="Normal"/>
    <n v="3615.7"/>
    <n v="3615.7"/>
    <n v="0"/>
    <n v="0"/>
    <n v="0"/>
    <n v="144.63"/>
    <n v="0"/>
    <n v="0"/>
    <n v="0"/>
    <n v="3615.7"/>
    <n v="0"/>
    <n v="3471.07"/>
    <n v="57.27"/>
    <n v="263.8"/>
    <x v="0"/>
    <x v="0"/>
    <m/>
    <m/>
    <n v="0"/>
    <m/>
    <m/>
    <s v="'"/>
    <n v="3615.7"/>
  </r>
  <r>
    <x v="0"/>
    <s v="0009723"/>
    <s v="2"/>
    <s v="NFS"/>
    <s v="35202"/>
    <x v="194"/>
    <x v="10"/>
    <s v="610611"/>
    <x v="0"/>
    <s v="348102"/>
    <s v="'31839572000192"/>
    <s v="MANDAGUACU"/>
    <x v="5"/>
    <x v="1"/>
    <s v="Uso autorizado"/>
    <s v="'42250206013812000581550020000097231865728293"/>
    <s v="Normal"/>
    <n v="4780.04"/>
    <n v="4780.04"/>
    <n v="0"/>
    <n v="0"/>
    <n v="0"/>
    <n v="191.2"/>
    <n v="0"/>
    <n v="0"/>
    <n v="0"/>
    <n v="4780.04"/>
    <n v="0"/>
    <n v="4588.84"/>
    <n v="75.72"/>
    <n v="348.75"/>
    <x v="0"/>
    <x v="0"/>
    <m/>
    <m/>
    <n v="0"/>
    <m/>
    <m/>
    <s v="'"/>
    <n v="4780.04"/>
  </r>
  <r>
    <x v="0"/>
    <s v="0009724"/>
    <s v="2"/>
    <s v="NFS"/>
    <s v="26750"/>
    <x v="195"/>
    <x v="10"/>
    <s v="610610"/>
    <x v="0"/>
    <s v="348116"/>
    <s v="'10407982000194"/>
    <s v="FORTALEZA"/>
    <x v="9"/>
    <x v="1"/>
    <s v="Uso autorizado"/>
    <s v="'42250206013812000581550020000097241866055290"/>
    <s v="Normal"/>
    <n v="9130.65"/>
    <n v="8956.65"/>
    <n v="0"/>
    <n v="0"/>
    <n v="174"/>
    <n v="365.23"/>
    <n v="0"/>
    <n v="0"/>
    <n v="0"/>
    <n v="9130.65"/>
    <n v="0"/>
    <n v="8765.42"/>
    <n v="144.63"/>
    <n v="666.17"/>
    <x v="0"/>
    <x v="0"/>
    <m/>
    <m/>
    <n v="0"/>
    <m/>
    <m/>
    <s v="'"/>
    <n v="9130.65"/>
  </r>
  <r>
    <x v="0"/>
    <s v="0009725"/>
    <s v="2"/>
    <s v="NFS"/>
    <s v="38182"/>
    <x v="196"/>
    <x v="10"/>
    <s v="610611"/>
    <x v="0"/>
    <s v="347936"/>
    <s v="'14505653000137"/>
    <s v="ATIBAIA"/>
    <x v="0"/>
    <x v="1"/>
    <s v="Uso autorizado"/>
    <s v="'42250206013812000581550020000097251734306950"/>
    <s v="Normal"/>
    <n v="89.21"/>
    <n v="55.42"/>
    <n v="0"/>
    <n v="0"/>
    <n v="33.79"/>
    <n v="3.57"/>
    <n v="0"/>
    <n v="0"/>
    <n v="0"/>
    <n v="55.42"/>
    <n v="0"/>
    <n v="85.64"/>
    <n v="1.41"/>
    <n v="6.51"/>
    <x v="0"/>
    <x v="0"/>
    <m/>
    <m/>
    <n v="0"/>
    <m/>
    <m/>
    <s v="'"/>
    <n v="89.21"/>
  </r>
  <r>
    <x v="0"/>
    <s v="0009726"/>
    <s v="2"/>
    <s v="NFS"/>
    <s v="32191"/>
    <x v="64"/>
    <x v="10"/>
    <s v="612303"/>
    <x v="3"/>
    <s v="347344"/>
    <s v="'10998816000100"/>
    <s v="CERQUILHO"/>
    <x v="0"/>
    <x v="1"/>
    <s v="Uso autorizado"/>
    <s v="'42250206013812000581550020000097261215688710"/>
    <s v="Normal"/>
    <n v="125.71"/>
    <n v="91.92"/>
    <n v="0"/>
    <n v="0"/>
    <n v="33.79"/>
    <n v="5.03"/>
    <n v="0"/>
    <n v="0"/>
    <n v="0"/>
    <n v="125.71"/>
    <n v="0"/>
    <n v="120.68"/>
    <n v="1.98"/>
    <n v="9.18"/>
    <x v="0"/>
    <x v="0"/>
    <n v="9727"/>
    <n v="2"/>
    <n v="32191"/>
    <s v="XAVIER STRUFALDI &amp; CIA LTDA"/>
    <d v="2025-02-14T00:00:00"/>
    <s v="'42250206013812000581550020000097271508949182"/>
    <n v="125.71"/>
  </r>
  <r>
    <x v="0"/>
    <s v="0009727"/>
    <s v="2"/>
    <s v="NFS"/>
    <s v="36506"/>
    <x v="65"/>
    <x v="10"/>
    <s v="612304"/>
    <x v="4"/>
    <m/>
    <s v="'33379056000158"/>
    <s v="CERQUILHO"/>
    <x v="0"/>
    <x v="1"/>
    <s v="Uso autorizado"/>
    <s v="'42250206013812000581550020000097271508949182"/>
    <s v="Normal"/>
    <n v="125.71"/>
    <n v="91.92"/>
    <n v="0"/>
    <n v="0"/>
    <n v="0"/>
    <n v="0"/>
    <n v="125.71"/>
    <n v="0"/>
    <n v="0"/>
    <n v="125.71"/>
    <n v="0"/>
    <n v="0"/>
    <n v="0"/>
    <n v="0"/>
    <x v="0"/>
    <x v="1"/>
    <n v="9726"/>
    <n v="2"/>
    <n v="36506"/>
    <s v="GUILHERME PIERRE"/>
    <d v="2025-02-14T00:00:00"/>
    <s v="'42250206013812000581550020000097261215688710"/>
    <n v="0"/>
  </r>
  <r>
    <x v="0"/>
    <s v="0009728"/>
    <s v="2"/>
    <s v="NFS"/>
    <s v="32697"/>
    <x v="197"/>
    <x v="10"/>
    <s v="610610"/>
    <x v="0"/>
    <s v="348067"/>
    <s v="'27701459000179"/>
    <s v="SERRA"/>
    <x v="6"/>
    <x v="1"/>
    <s v="Uso autorizado"/>
    <s v="'42250206013812000581550020000097281956324183"/>
    <s v="Normal"/>
    <n v="8094.28"/>
    <n v="8094.28"/>
    <n v="0"/>
    <n v="0"/>
    <n v="0"/>
    <n v="323.77"/>
    <n v="0"/>
    <n v="0"/>
    <n v="0"/>
    <n v="8094.28"/>
    <n v="0"/>
    <n v="7770.51"/>
    <n v="128.22"/>
    <n v="590.55999999999995"/>
    <x v="0"/>
    <x v="0"/>
    <m/>
    <m/>
    <n v="0"/>
    <m/>
    <m/>
    <s v="'"/>
    <n v="8094.28"/>
  </r>
  <r>
    <x v="0"/>
    <s v="0009729"/>
    <s v="2"/>
    <s v="NFS"/>
    <s v="38787"/>
    <x v="62"/>
    <x v="11"/>
    <s v="510601"/>
    <x v="5"/>
    <s v="348121"/>
    <s v="'84229889000173"/>
    <s v="APIUNA"/>
    <x v="3"/>
    <x v="1"/>
    <s v="Uso autorizado"/>
    <s v="'42250206013812000581550020000097291035236030"/>
    <s v="Normal"/>
    <n v="117.15"/>
    <n v="91.88"/>
    <n v="0"/>
    <n v="0"/>
    <n v="24.22"/>
    <n v="4.6399999999999997"/>
    <n v="0"/>
    <n v="0"/>
    <n v="1.05"/>
    <n v="83.55"/>
    <n v="0"/>
    <n v="111.46"/>
    <n v="1.85"/>
    <n v="8.4700000000000006"/>
    <x v="0"/>
    <x v="0"/>
    <m/>
    <m/>
    <n v="0"/>
    <m/>
    <m/>
    <s v="'"/>
    <n v="116.1"/>
  </r>
  <r>
    <x v="0"/>
    <s v="0009730"/>
    <s v="2"/>
    <s v="NFS"/>
    <s v="36903"/>
    <x v="198"/>
    <x v="11"/>
    <s v="610611"/>
    <x v="0"/>
    <s v="347841"/>
    <s v="'34977701000105"/>
    <s v="PORTO ALEGRE"/>
    <x v="7"/>
    <x v="1"/>
    <s v="Uso autorizado"/>
    <s v="'42250206013812000581550020000097301385261205"/>
    <s v="Normal"/>
    <n v="139.49"/>
    <n v="105.7"/>
    <n v="0"/>
    <n v="0"/>
    <n v="33.79"/>
    <n v="5.58"/>
    <n v="0"/>
    <n v="0"/>
    <n v="0"/>
    <n v="105.7"/>
    <n v="0"/>
    <n v="133.91"/>
    <n v="2.21"/>
    <n v="10.18"/>
    <x v="0"/>
    <x v="0"/>
    <m/>
    <m/>
    <n v="0"/>
    <m/>
    <m/>
    <s v="'"/>
    <n v="139.49"/>
  </r>
  <r>
    <x v="0"/>
    <s v="0009731"/>
    <s v="2"/>
    <s v="NFS"/>
    <s v="2026"/>
    <x v="199"/>
    <x v="11"/>
    <s v="610611"/>
    <x v="0"/>
    <s v="348002"/>
    <s v="'86675675000156"/>
    <s v="ARCOS"/>
    <x v="4"/>
    <x v="1"/>
    <s v="Uso autorizado"/>
    <s v="'42250206013812000581550020000097311842262095"/>
    <s v="Normal"/>
    <n v="3191.7"/>
    <n v="3191.7"/>
    <n v="0"/>
    <n v="0"/>
    <n v="0"/>
    <n v="127.67"/>
    <n v="0"/>
    <n v="0"/>
    <n v="0"/>
    <n v="3191.7"/>
    <n v="0"/>
    <n v="3064.03"/>
    <n v="50.55"/>
    <n v="232.87"/>
    <x v="0"/>
    <x v="0"/>
    <m/>
    <m/>
    <n v="0"/>
    <m/>
    <m/>
    <s v="'"/>
    <n v="3191.7"/>
  </r>
  <r>
    <x v="0"/>
    <s v="0009732"/>
    <s v="2"/>
    <s v="NFS"/>
    <s v="36777"/>
    <x v="103"/>
    <x v="11"/>
    <s v="610611"/>
    <x v="0"/>
    <s v="347940"/>
    <s v="'26170412000163"/>
    <s v="DIVINOPOLIS"/>
    <x v="4"/>
    <x v="1"/>
    <s v="Uso autorizado"/>
    <s v="'42250206013812000581550020000097321034659057"/>
    <s v="Normal"/>
    <n v="2306.4"/>
    <n v="2306.4"/>
    <n v="0"/>
    <n v="0"/>
    <n v="0"/>
    <n v="92.26"/>
    <n v="0"/>
    <n v="0"/>
    <n v="0"/>
    <n v="2306.4"/>
    <n v="0"/>
    <n v="2214.14"/>
    <n v="36.53"/>
    <n v="168.28"/>
    <x v="0"/>
    <x v="0"/>
    <m/>
    <m/>
    <n v="0"/>
    <m/>
    <m/>
    <s v="'"/>
    <n v="2306.4"/>
  </r>
  <r>
    <x v="0"/>
    <s v="0009733"/>
    <s v="2"/>
    <s v="NFS"/>
    <s v="34483"/>
    <x v="200"/>
    <x v="11"/>
    <s v="610611"/>
    <x v="0"/>
    <s v="347850"/>
    <s v="'26703238000177"/>
    <s v="SAO PAULO"/>
    <x v="0"/>
    <x v="1"/>
    <s v="Uso autorizado"/>
    <s v="'42250206013812000581550020000097331992657910"/>
    <s v="Normal"/>
    <n v="3096.6"/>
    <n v="3096.6"/>
    <n v="0"/>
    <n v="0"/>
    <n v="0"/>
    <n v="123.86"/>
    <n v="0"/>
    <n v="0"/>
    <n v="0"/>
    <n v="3096.6"/>
    <n v="0"/>
    <n v="2972.74"/>
    <n v="49.04"/>
    <n v="225.93"/>
    <x v="0"/>
    <x v="0"/>
    <m/>
    <m/>
    <n v="0"/>
    <m/>
    <m/>
    <s v="'"/>
    <n v="3096.6"/>
  </r>
  <r>
    <x v="0"/>
    <s v="0009734"/>
    <s v="2"/>
    <s v="NFS"/>
    <s v="36825"/>
    <x v="170"/>
    <x v="11"/>
    <s v="610611"/>
    <x v="0"/>
    <s v="348013"/>
    <s v="'42224968000141"/>
    <s v="LONDRINA"/>
    <x v="5"/>
    <x v="1"/>
    <s v="Uso autorizado"/>
    <s v="'42250206013812000581550020000097341725802192"/>
    <s v="Normal"/>
    <n v="3393.51"/>
    <n v="3393.51"/>
    <n v="0"/>
    <n v="0"/>
    <n v="0"/>
    <n v="135.74"/>
    <n v="0"/>
    <n v="0"/>
    <n v="0"/>
    <n v="3393.51"/>
    <n v="0"/>
    <n v="3257.77"/>
    <n v="53.77"/>
    <n v="247.59"/>
    <x v="0"/>
    <x v="0"/>
    <m/>
    <m/>
    <n v="0"/>
    <m/>
    <m/>
    <s v="'"/>
    <n v="3393.51"/>
  </r>
  <r>
    <x v="0"/>
    <s v="0009735"/>
    <s v="2"/>
    <s v="NFS"/>
    <s v="37343"/>
    <x v="201"/>
    <x v="11"/>
    <s v="510601"/>
    <x v="5"/>
    <s v="348065"/>
    <s v="'02809886000144"/>
    <s v="SCHROEDER"/>
    <x v="3"/>
    <x v="1"/>
    <s v="Uso autorizado"/>
    <s v="'42250206013812000581550020000097351767820242"/>
    <s v="Normal"/>
    <n v="6280.64"/>
    <n v="6280.64"/>
    <n v="0"/>
    <n v="0"/>
    <n v="0"/>
    <n v="251.23"/>
    <n v="0"/>
    <n v="0"/>
    <n v="0"/>
    <n v="6280.64"/>
    <n v="0"/>
    <n v="6029.41"/>
    <n v="99.48"/>
    <n v="458.23"/>
    <x v="0"/>
    <x v="0"/>
    <m/>
    <m/>
    <n v="0"/>
    <m/>
    <m/>
    <s v="'"/>
    <n v="6280.64"/>
  </r>
  <r>
    <x v="0"/>
    <s v="0009736"/>
    <s v="2"/>
    <s v="NFS"/>
    <s v="40440"/>
    <x v="202"/>
    <x v="11"/>
    <s v="610611"/>
    <x v="0"/>
    <s v="347856"/>
    <s v="'53721137000100"/>
    <s v="SAO PAULO"/>
    <x v="0"/>
    <x v="1"/>
    <s v="Uso autorizado"/>
    <s v="'42250206013812000581550020000097361865282463"/>
    <s v="Normal"/>
    <n v="13433.6"/>
    <n v="13433.6"/>
    <n v="0"/>
    <n v="0"/>
    <n v="0"/>
    <n v="537.34"/>
    <n v="0"/>
    <n v="0"/>
    <n v="0"/>
    <n v="13433.6"/>
    <n v="0"/>
    <n v="12896.26"/>
    <n v="212.78"/>
    <n v="980.12"/>
    <x v="0"/>
    <x v="0"/>
    <m/>
    <m/>
    <n v="0"/>
    <m/>
    <m/>
    <s v="'"/>
    <n v="13433.6"/>
  </r>
  <r>
    <x v="0"/>
    <s v="0009737"/>
    <s v="2"/>
    <s v="NFT"/>
    <s v="33240"/>
    <x v="13"/>
    <x v="11"/>
    <s v="62207"/>
    <x v="8"/>
    <s v="346220"/>
    <s v="'06013812000239"/>
    <s v="BELO HORIZONTE"/>
    <x v="4"/>
    <x v="1"/>
    <s v="Uso autorizado"/>
    <s v="'42250206013812000581550020000097371658066380"/>
    <s v="Normal"/>
    <n v="479.13"/>
    <n v="478.52"/>
    <n v="0"/>
    <n v="0"/>
    <n v="0"/>
    <n v="19.14"/>
    <n v="0"/>
    <n v="0"/>
    <n v="0.61"/>
    <n v="459.52"/>
    <n v="0"/>
    <n v="459.38"/>
    <n v="7.56"/>
    <n v="34.93"/>
    <x v="0"/>
    <x v="1"/>
    <m/>
    <m/>
    <n v="0"/>
    <m/>
    <m/>
    <s v="'"/>
    <n v="478.52"/>
  </r>
  <r>
    <x v="0"/>
    <s v="0009738"/>
    <s v="2"/>
    <s v="NFS"/>
    <s v="31693"/>
    <x v="72"/>
    <x v="11"/>
    <s v="510601"/>
    <x v="5"/>
    <s v="348120"/>
    <s v="'11178950000127"/>
    <s v="JARAGUA DO SUL"/>
    <x v="3"/>
    <x v="1"/>
    <s v="Uso autorizado"/>
    <s v="'42250206013812000581550020000097381777854583"/>
    <s v="Normal"/>
    <n v="856"/>
    <n v="756"/>
    <n v="0"/>
    <n v="0"/>
    <n v="100"/>
    <n v="34.24"/>
    <n v="0"/>
    <n v="0"/>
    <n v="0"/>
    <n v="856"/>
    <n v="0"/>
    <n v="821.76"/>
    <n v="13.56"/>
    <n v="62.45"/>
    <x v="0"/>
    <x v="0"/>
    <m/>
    <m/>
    <n v="0"/>
    <m/>
    <m/>
    <s v="'"/>
    <n v="856"/>
  </r>
  <r>
    <x v="0"/>
    <s v="0009739"/>
    <s v="2"/>
    <s v="NFS"/>
    <s v="37343"/>
    <x v="201"/>
    <x v="11"/>
    <s v="510601"/>
    <x v="5"/>
    <s v="348158"/>
    <s v="'02809886000144"/>
    <s v="SCHROEDER"/>
    <x v="3"/>
    <x v="1"/>
    <s v="Uso autorizado"/>
    <s v="'42250206013812000581550020000097391182956611"/>
    <s v="Normal"/>
    <n v="26706.15"/>
    <n v="26618.400000000001"/>
    <n v="0"/>
    <n v="0"/>
    <n v="0"/>
    <n v="1064.74"/>
    <n v="0"/>
    <n v="0"/>
    <n v="87.75"/>
    <n v="23918.400000000001"/>
    <n v="0"/>
    <n v="25553.66"/>
    <n v="421.63"/>
    <n v="1942.07"/>
    <x v="0"/>
    <x v="0"/>
    <m/>
    <m/>
    <n v="0"/>
    <m/>
    <m/>
    <s v="'"/>
    <n v="26618.400000000001"/>
  </r>
  <r>
    <x v="0"/>
    <s v="0009740"/>
    <s v="2"/>
    <s v="NFS"/>
    <s v="28128"/>
    <x v="129"/>
    <x v="11"/>
    <s v="510603"/>
    <x v="5"/>
    <s v="348153"/>
    <s v="'10617324000127"/>
    <s v="SOMBRIO"/>
    <x v="3"/>
    <x v="1"/>
    <s v="Uso autorizado"/>
    <s v="'42250206013812000581550020000097401785472137"/>
    <s v="Normal"/>
    <n v="2151.38"/>
    <n v="2151.38"/>
    <n v="0"/>
    <n v="0"/>
    <n v="0"/>
    <n v="258.17"/>
    <n v="0"/>
    <n v="0"/>
    <n v="0"/>
    <n v="2151.38"/>
    <n v="0"/>
    <n v="1893.21"/>
    <n v="31.24"/>
    <n v="143.88"/>
    <x v="0"/>
    <x v="0"/>
    <m/>
    <m/>
    <n v="0"/>
    <m/>
    <m/>
    <s v="'"/>
    <n v="2151.38"/>
  </r>
  <r>
    <x v="0"/>
    <s v="0009741"/>
    <s v="2"/>
    <s v="NFS"/>
    <s v="38657"/>
    <x v="203"/>
    <x v="11"/>
    <s v="511901"/>
    <x v="14"/>
    <s v="348050"/>
    <s v="'50289150000135"/>
    <s v="SOMBRIO"/>
    <x v="3"/>
    <x v="1"/>
    <s v="Uso autorizado"/>
    <s v="'42250206013812000581550020000097411055758908"/>
    <s v="Normal"/>
    <n v="1526"/>
    <n v="1526"/>
    <n v="0"/>
    <n v="0"/>
    <n v="0"/>
    <n v="183.12"/>
    <n v="0"/>
    <n v="0"/>
    <n v="0"/>
    <n v="1526"/>
    <n v="0"/>
    <n v="1342.88"/>
    <n v="22.16"/>
    <n v="102.06"/>
    <x v="0"/>
    <x v="0"/>
    <n v="9742"/>
    <n v="2"/>
    <n v="38657"/>
    <s v="PRODUZIDA CONFECCOES LTDA"/>
    <d v="2025-02-17T00:00:00"/>
    <s v="'42250206013812000581550020000097421460351610"/>
    <n v="1526"/>
  </r>
  <r>
    <x v="0"/>
    <s v="0009742"/>
    <s v="2"/>
    <s v="NFS"/>
    <s v="33296"/>
    <x v="204"/>
    <x v="11"/>
    <s v="592301"/>
    <x v="15"/>
    <m/>
    <s v="'18940202000189"/>
    <s v="SOMBRIO"/>
    <x v="3"/>
    <x v="1"/>
    <s v="Uso autorizado"/>
    <s v="'42250206013812000581550020000097421460351610"/>
    <s v="Normal"/>
    <n v="1526"/>
    <n v="1526"/>
    <n v="0"/>
    <n v="0"/>
    <n v="0"/>
    <n v="0"/>
    <n v="1526"/>
    <n v="0"/>
    <n v="0"/>
    <n v="1526"/>
    <n v="0"/>
    <n v="0"/>
    <n v="0"/>
    <n v="0"/>
    <x v="0"/>
    <x v="1"/>
    <n v="9741"/>
    <n v="2"/>
    <n v="33296"/>
    <s v="NANILEZ CONF LTDA"/>
    <d v="2025-02-17T00:00:00"/>
    <s v="'42250206013812000581550020000097411055758908"/>
    <n v="0"/>
  </r>
  <r>
    <x v="0"/>
    <s v="0009743"/>
    <s v="2"/>
    <s v="NFS"/>
    <s v="29899"/>
    <x v="205"/>
    <x v="11"/>
    <s v="610611"/>
    <x v="0"/>
    <s v="347184"/>
    <s v="'10346148000136"/>
    <s v="MARINGA"/>
    <x v="5"/>
    <x v="1"/>
    <s v="Uso autorizado"/>
    <s v="'42250206013812000581550020000097431530289266"/>
    <s v="Normal"/>
    <n v="2756.1"/>
    <n v="2756.1"/>
    <n v="0"/>
    <n v="0"/>
    <n v="0"/>
    <n v="110.24"/>
    <n v="0"/>
    <n v="0"/>
    <n v="0"/>
    <n v="2756.1"/>
    <n v="0"/>
    <n v="2645.86"/>
    <n v="43.66"/>
    <n v="201.09"/>
    <x v="0"/>
    <x v="0"/>
    <m/>
    <m/>
    <n v="0"/>
    <m/>
    <m/>
    <s v="'"/>
    <n v="2756.1"/>
  </r>
  <r>
    <x v="0"/>
    <s v="0009744"/>
    <s v="2"/>
    <s v="NFS"/>
    <s v="31986"/>
    <x v="173"/>
    <x v="11"/>
    <s v="610611"/>
    <x v="0"/>
    <s v="348033"/>
    <s v="'13806901000117"/>
    <s v="SAO JOSE DO RIO PRETO"/>
    <x v="0"/>
    <x v="1"/>
    <s v="Uso autorizado"/>
    <s v="'42250206013812000581550020000097441799470297"/>
    <s v="Normal"/>
    <n v="3246.5"/>
    <n v="3246.5"/>
    <n v="0"/>
    <n v="0"/>
    <n v="0"/>
    <n v="129.86000000000001"/>
    <n v="0"/>
    <n v="0"/>
    <n v="0"/>
    <n v="3246.5"/>
    <n v="0"/>
    <n v="3116.64"/>
    <n v="51.42"/>
    <n v="236.86"/>
    <x v="0"/>
    <x v="0"/>
    <m/>
    <m/>
    <n v="0"/>
    <m/>
    <m/>
    <s v="'"/>
    <n v="3246.5"/>
  </r>
  <r>
    <x v="0"/>
    <s v="0009745"/>
    <s v="2"/>
    <s v="NFS"/>
    <s v="36738"/>
    <x v="206"/>
    <x v="11"/>
    <s v="610611"/>
    <x v="0"/>
    <s v="348175"/>
    <s v="'29800699000156"/>
    <s v="AMERICANA"/>
    <x v="0"/>
    <x v="1"/>
    <s v="Uso autorizado"/>
    <s v="'42250206013812000581550020000097451813810549"/>
    <s v="Normal"/>
    <n v="13475.56"/>
    <n v="13475.56"/>
    <n v="0"/>
    <n v="0"/>
    <n v="0"/>
    <n v="539.02"/>
    <n v="0"/>
    <n v="0"/>
    <n v="0"/>
    <n v="13475.56"/>
    <n v="0"/>
    <n v="12936.54"/>
    <n v="213.45"/>
    <n v="983.17"/>
    <x v="0"/>
    <x v="0"/>
    <m/>
    <m/>
    <n v="0"/>
    <m/>
    <m/>
    <s v="'"/>
    <n v="13475.56"/>
  </r>
  <r>
    <x v="0"/>
    <s v="0009746"/>
    <s v="2"/>
    <s v="NFS"/>
    <s v="25989"/>
    <x v="207"/>
    <x v="11"/>
    <s v="610611"/>
    <x v="0"/>
    <s v="348184"/>
    <s v="'05408151000105"/>
    <s v="RIO DE JANEIRO"/>
    <x v="2"/>
    <x v="1"/>
    <s v="Uso autorizado"/>
    <s v="'42250206013812000581550020000097461294114218"/>
    <s v="Normal"/>
    <n v="3052.66"/>
    <n v="3052.66"/>
    <n v="0"/>
    <n v="0"/>
    <n v="0"/>
    <n v="122.11"/>
    <n v="0"/>
    <n v="0"/>
    <n v="0"/>
    <n v="3052.66"/>
    <n v="0"/>
    <n v="2930.55"/>
    <n v="48.35"/>
    <n v="222.71"/>
    <x v="0"/>
    <x v="0"/>
    <m/>
    <m/>
    <n v="0"/>
    <m/>
    <m/>
    <s v="'"/>
    <n v="3052.66"/>
  </r>
  <r>
    <x v="0"/>
    <s v="0009747"/>
    <s v="2"/>
    <s v="NFS"/>
    <s v="36040"/>
    <x v="208"/>
    <x v="11"/>
    <s v="610611"/>
    <x v="0"/>
    <s v="348140"/>
    <s v="'19681681000129"/>
    <s v="SAO PAULO"/>
    <x v="0"/>
    <x v="1"/>
    <s v="Uso autorizado"/>
    <s v="'42250206013812000581550020000097471848808545"/>
    <s v="Normal"/>
    <n v="6739.5"/>
    <n v="6739.5"/>
    <n v="0"/>
    <n v="0"/>
    <n v="0"/>
    <n v="269.58"/>
    <n v="0"/>
    <n v="0"/>
    <n v="0"/>
    <n v="6739.5"/>
    <n v="0"/>
    <n v="6469.92"/>
    <n v="106.76"/>
    <n v="491.71"/>
    <x v="0"/>
    <x v="0"/>
    <m/>
    <m/>
    <n v="0"/>
    <m/>
    <m/>
    <s v="'"/>
    <n v="6739.5"/>
  </r>
  <r>
    <x v="0"/>
    <s v="0009748"/>
    <s v="2"/>
    <s v="NFS"/>
    <s v="39072"/>
    <x v="186"/>
    <x v="11"/>
    <s v="610611"/>
    <x v="0"/>
    <s v="348201"/>
    <s v="'23777863000256"/>
    <s v="SAO PAULO"/>
    <x v="0"/>
    <x v="1"/>
    <s v="Uso autorizado"/>
    <s v="'42250206013812000581550020000097481835211070"/>
    <s v="Normal"/>
    <n v="17141.22"/>
    <n v="17141.22"/>
    <n v="0"/>
    <n v="0"/>
    <n v="0"/>
    <n v="685.65"/>
    <n v="0"/>
    <n v="0"/>
    <n v="0"/>
    <n v="17141.22"/>
    <n v="0"/>
    <n v="16455.57"/>
    <n v="271.51"/>
    <n v="1250.6300000000001"/>
    <x v="0"/>
    <x v="0"/>
    <m/>
    <m/>
    <n v="0"/>
    <m/>
    <m/>
    <s v="'"/>
    <n v="17141.22"/>
  </r>
  <r>
    <x v="0"/>
    <s v="0009749"/>
    <s v="2"/>
    <s v="NFS"/>
    <s v="27172"/>
    <x v="209"/>
    <x v="11"/>
    <s v="610611"/>
    <x v="0"/>
    <s v="348197"/>
    <s v="'17732952000100"/>
    <s v="PORTAO"/>
    <x v="7"/>
    <x v="1"/>
    <s v="Uso autorizado"/>
    <s v="'42250206013812000581550020000097491102487110"/>
    <s v="Normal"/>
    <n v="5221.07"/>
    <n v="5221.07"/>
    <n v="0"/>
    <n v="0"/>
    <n v="0"/>
    <n v="208.84"/>
    <n v="0"/>
    <n v="0"/>
    <n v="0"/>
    <n v="5221.07"/>
    <n v="0"/>
    <n v="5012.2299999999996"/>
    <n v="82.72"/>
    <n v="380.93"/>
    <x v="0"/>
    <x v="0"/>
    <m/>
    <m/>
    <n v="0"/>
    <m/>
    <m/>
    <s v="'"/>
    <n v="5221.07"/>
  </r>
  <r>
    <x v="0"/>
    <s v="0009750"/>
    <s v="2"/>
    <s v="NFS"/>
    <s v="40216"/>
    <x v="210"/>
    <x v="11"/>
    <s v="610611"/>
    <x v="0"/>
    <s v="348171"/>
    <s v="'32787427000178"/>
    <s v="PASSO FUNDO"/>
    <x v="7"/>
    <x v="1"/>
    <s v="Uso autorizado"/>
    <s v="'42250206013812000581550020000097501042122014"/>
    <s v="Normal"/>
    <n v="9328.06"/>
    <n v="9328.06"/>
    <n v="0"/>
    <n v="0"/>
    <n v="0"/>
    <n v="373.12"/>
    <n v="0"/>
    <n v="0"/>
    <n v="0"/>
    <n v="9328.06"/>
    <n v="0"/>
    <n v="8954.94"/>
    <n v="147.75"/>
    <n v="680.58"/>
    <x v="0"/>
    <x v="0"/>
    <m/>
    <m/>
    <n v="0"/>
    <m/>
    <m/>
    <s v="'"/>
    <n v="9328.06"/>
  </r>
  <r>
    <x v="0"/>
    <s v="0009751"/>
    <s v="2"/>
    <s v="NFE"/>
    <s v="22070"/>
    <x v="120"/>
    <x v="11"/>
    <s v="31208"/>
    <x v="9"/>
    <s v=" "/>
    <s v="'"/>
    <s v="ZHEJIANG"/>
    <x v="10"/>
    <x v="1"/>
    <s v="Uso autorizado"/>
    <s v="'42250206013812000581550020000097511554308220"/>
    <s v="Normal"/>
    <n v="-9024.2900000000009"/>
    <n v="-9024.2900000000009"/>
    <n v="0"/>
    <n v="0"/>
    <n v="0"/>
    <n v="0"/>
    <n v="-9024.2900000000009"/>
    <n v="0"/>
    <n v="0"/>
    <n v="-9024.2900000000009"/>
    <n v="0"/>
    <n v="0"/>
    <n v="0"/>
    <n v="0"/>
    <x v="0"/>
    <x v="1"/>
    <m/>
    <m/>
    <n v="0"/>
    <m/>
    <m/>
    <s v="'"/>
    <n v="0"/>
  </r>
  <r>
    <x v="0"/>
    <s v="0009752"/>
    <s v="2"/>
    <s v="NFE"/>
    <s v="26715"/>
    <x v="59"/>
    <x v="11"/>
    <s v="31207"/>
    <x v="9"/>
    <s v=" "/>
    <s v="'"/>
    <s v="CHINA"/>
    <x v="10"/>
    <x v="1"/>
    <s v="Uso autorizado"/>
    <s v="'42250206013812000581550020000097521992924638"/>
    <s v="Normal"/>
    <n v="-19802.45"/>
    <n v="-19802.45"/>
    <n v="0"/>
    <n v="0"/>
    <n v="0"/>
    <n v="0"/>
    <n v="-7481.32"/>
    <n v="0"/>
    <n v="0"/>
    <n v="-19802.45"/>
    <n v="0"/>
    <n v="0"/>
    <n v="0"/>
    <n v="0"/>
    <x v="0"/>
    <x v="1"/>
    <m/>
    <m/>
    <n v="0"/>
    <m/>
    <m/>
    <s v="'"/>
    <n v="0"/>
  </r>
  <r>
    <x v="0"/>
    <s v="0009753"/>
    <s v="2"/>
    <s v="NFE"/>
    <s v="26715"/>
    <x v="59"/>
    <x v="11"/>
    <s v="31208"/>
    <x v="9"/>
    <s v=" "/>
    <s v="'"/>
    <s v="CHINA"/>
    <x v="10"/>
    <x v="1"/>
    <s v="Uso autorizado"/>
    <s v="'42250206013812000581550020000097531433912813"/>
    <s v="Normal"/>
    <n v="-9194.17"/>
    <n v="-9194.17"/>
    <n v="0"/>
    <n v="0"/>
    <n v="0"/>
    <n v="0"/>
    <n v="-9194.17"/>
    <n v="0"/>
    <n v="0"/>
    <n v="-9194.17"/>
    <n v="0"/>
    <n v="0"/>
    <n v="0"/>
    <n v="0"/>
    <x v="0"/>
    <x v="1"/>
    <m/>
    <m/>
    <n v="0"/>
    <m/>
    <m/>
    <s v="'"/>
    <n v="0"/>
  </r>
  <r>
    <x v="0"/>
    <s v="0009754"/>
    <s v="2"/>
    <s v="NFS"/>
    <s v="23345"/>
    <x v="211"/>
    <x v="11"/>
    <s v="610610"/>
    <x v="0"/>
    <s v="348056"/>
    <s v="'12591019000139"/>
    <s v="MARABA"/>
    <x v="14"/>
    <x v="1"/>
    <s v="Uso autorizado"/>
    <s v="'42250206013812000581550020000097541186988190"/>
    <s v="Normal"/>
    <n v="9381.0499999999993"/>
    <n v="9381.0499999999993"/>
    <n v="0"/>
    <n v="0"/>
    <n v="0"/>
    <n v="375.24"/>
    <n v="0"/>
    <n v="0"/>
    <n v="0"/>
    <n v="9381.0499999999993"/>
    <n v="0"/>
    <n v="9005.81"/>
    <n v="148.59"/>
    <n v="684.45"/>
    <x v="0"/>
    <x v="0"/>
    <m/>
    <m/>
    <n v="0"/>
    <m/>
    <m/>
    <s v="'"/>
    <n v="9381.0499999999993"/>
  </r>
  <r>
    <x v="0"/>
    <s v="0009755"/>
    <s v="2"/>
    <s v="NFS"/>
    <s v="5951"/>
    <x v="212"/>
    <x v="12"/>
    <s v="510601"/>
    <x v="5"/>
    <s v="348133"/>
    <s v="'00164925000178"/>
    <s v="NOVA TRENTO"/>
    <x v="3"/>
    <x v="1"/>
    <s v="Uso autorizado"/>
    <s v="'42250206013812000581550020000097551055376377"/>
    <s v="Normal"/>
    <n v="47.66"/>
    <n v="36.5"/>
    <n v="0"/>
    <n v="0"/>
    <n v="11.16"/>
    <n v="1.91"/>
    <n v="0"/>
    <n v="0"/>
    <n v="0"/>
    <n v="47.66"/>
    <n v="0"/>
    <n v="45.75"/>
    <n v="0.75"/>
    <n v="3.48"/>
    <x v="0"/>
    <x v="0"/>
    <m/>
    <m/>
    <n v="0"/>
    <m/>
    <m/>
    <s v="'"/>
    <n v="47.66"/>
  </r>
  <r>
    <x v="0"/>
    <s v="0009756"/>
    <s v="2"/>
    <s v="NFS"/>
    <s v="35898"/>
    <x v="8"/>
    <x v="12"/>
    <s v="510601"/>
    <x v="5"/>
    <s v="347577"/>
    <s v="'79941506000155"/>
    <s v="JARAGUA DO SUL"/>
    <x v="3"/>
    <x v="1"/>
    <s v="Uso autorizado"/>
    <s v="'42250206013812000581550020000097561113387981"/>
    <s v="Normal"/>
    <n v="57.12"/>
    <n v="45.96"/>
    <n v="0"/>
    <n v="0"/>
    <n v="11.16"/>
    <n v="2.2799999999999998"/>
    <n v="0"/>
    <n v="0"/>
    <n v="0"/>
    <n v="57.12"/>
    <n v="0"/>
    <n v="54.84"/>
    <n v="0.9"/>
    <n v="4.17"/>
    <x v="0"/>
    <x v="0"/>
    <m/>
    <m/>
    <n v="0"/>
    <m/>
    <m/>
    <s v="'"/>
    <n v="57.12"/>
  </r>
  <r>
    <x v="0"/>
    <s v="0009757"/>
    <s v="2"/>
    <s v="NFS"/>
    <s v="40527"/>
    <x v="213"/>
    <x v="12"/>
    <s v="69929m"/>
    <x v="7"/>
    <s v="348132"/>
    <s v="'32759670000182"/>
    <s v="FORTALEZA"/>
    <x v="9"/>
    <x v="1"/>
    <s v="Uso autorizado"/>
    <s v="'42250206013812000581550020000097571871697211"/>
    <s v="Normal"/>
    <n v="30"/>
    <n v="30"/>
    <n v="0"/>
    <n v="0"/>
    <n v="0"/>
    <n v="1.2"/>
    <n v="0"/>
    <n v="0"/>
    <n v="0"/>
    <n v="0"/>
    <n v="0"/>
    <n v="28.8"/>
    <n v="0.48"/>
    <n v="2.19"/>
    <x v="0"/>
    <x v="1"/>
    <m/>
    <m/>
    <n v="0"/>
    <m/>
    <m/>
    <s v="'"/>
    <n v="30"/>
  </r>
  <r>
    <x v="0"/>
    <s v="0009758"/>
    <s v="2"/>
    <s v="NFS"/>
    <s v="12033"/>
    <x v="163"/>
    <x v="12"/>
    <s v="610611"/>
    <x v="0"/>
    <s v="347662"/>
    <s v="'55923239000125"/>
    <s v="CERQUILHO"/>
    <x v="0"/>
    <x v="1"/>
    <s v="Uso autorizado"/>
    <s v="'42250206013812000581550020000097581226714370"/>
    <s v="Normal"/>
    <n v="95.07"/>
    <n v="61.28"/>
    <n v="0"/>
    <n v="0"/>
    <n v="33.79"/>
    <n v="3.8"/>
    <n v="0"/>
    <n v="0"/>
    <n v="0"/>
    <n v="61.28"/>
    <n v="0"/>
    <n v="91.27"/>
    <n v="1.5"/>
    <n v="6.94"/>
    <x v="0"/>
    <x v="0"/>
    <m/>
    <m/>
    <n v="0"/>
    <m/>
    <m/>
    <s v="'"/>
    <n v="95.07"/>
  </r>
  <r>
    <x v="0"/>
    <s v="0009759"/>
    <s v="2"/>
    <s v="NFS"/>
    <s v="40526"/>
    <x v="214"/>
    <x v="12"/>
    <s v="610611"/>
    <x v="0"/>
    <s v="348071"/>
    <s v="'11869440000104"/>
    <s v="SAO PAULO"/>
    <x v="0"/>
    <x v="1"/>
    <s v="Uso autorizado"/>
    <s v="'42250206013812000581550020000097591724894351"/>
    <s v="Normal"/>
    <n v="404.5"/>
    <n v="306.60000000000002"/>
    <n v="0"/>
    <n v="0"/>
    <n v="87.94"/>
    <n v="15.78"/>
    <n v="0"/>
    <n v="0"/>
    <n v="9.9600000000000009"/>
    <n v="0"/>
    <n v="0"/>
    <n v="378.76"/>
    <n v="6.25"/>
    <n v="28.79"/>
    <x v="0"/>
    <x v="0"/>
    <m/>
    <m/>
    <n v="0"/>
    <m/>
    <m/>
    <s v="'"/>
    <n v="394.54"/>
  </r>
  <r>
    <x v="0"/>
    <s v="0009760"/>
    <s v="2"/>
    <s v="NFS"/>
    <s v="40270"/>
    <x v="126"/>
    <x v="12"/>
    <s v="610611"/>
    <x v="0"/>
    <s v="347646"/>
    <s v="'23488094000195"/>
    <s v="GUARULHOS"/>
    <x v="0"/>
    <x v="1"/>
    <s v="Uso autorizado"/>
    <s v="'42250206013812000581550020000097601785413419"/>
    <s v="Normal"/>
    <n v="7532.56"/>
    <n v="7532.56"/>
    <n v="0"/>
    <n v="0"/>
    <n v="0"/>
    <n v="301.3"/>
    <n v="0"/>
    <n v="0"/>
    <n v="0"/>
    <n v="7532.56"/>
    <n v="0"/>
    <n v="7231.26"/>
    <n v="119.33"/>
    <n v="549.58000000000004"/>
    <x v="0"/>
    <x v="0"/>
    <m/>
    <m/>
    <n v="0"/>
    <m/>
    <m/>
    <s v="'"/>
    <n v="7532.56"/>
  </r>
  <r>
    <x v="0"/>
    <s v="0009761"/>
    <s v="2"/>
    <s v="NFS"/>
    <s v="22171"/>
    <x v="215"/>
    <x v="12"/>
    <s v="610611"/>
    <x v="0"/>
    <s v="348069"/>
    <s v="'60991254000140"/>
    <s v="SAO PAULO"/>
    <x v="0"/>
    <x v="1"/>
    <s v="Uso autorizado"/>
    <s v="'42250206013812000581550020000097611502276277"/>
    <s v="Normal"/>
    <n v="47.89"/>
    <n v="47.89"/>
    <n v="0"/>
    <n v="0"/>
    <n v="0"/>
    <n v="1.92"/>
    <n v="0"/>
    <n v="0"/>
    <n v="0"/>
    <n v="47.89"/>
    <n v="0"/>
    <n v="45.97"/>
    <n v="0.76"/>
    <n v="3.49"/>
    <x v="0"/>
    <x v="0"/>
    <m/>
    <m/>
    <n v="0"/>
    <m/>
    <m/>
    <s v="'"/>
    <n v="47.89"/>
  </r>
  <r>
    <x v="0"/>
    <s v="0009762"/>
    <s v="2"/>
    <s v="NFS"/>
    <s v="39107"/>
    <x v="216"/>
    <x v="12"/>
    <s v="610611"/>
    <x v="0"/>
    <s v="348183"/>
    <s v="'08165614000216"/>
    <s v="SAO PAULO"/>
    <x v="0"/>
    <x v="1"/>
    <s v="Uso autorizado"/>
    <s v="'42250206013812000581550020000097621793499208"/>
    <s v="Normal"/>
    <n v="91.99"/>
    <n v="91.99"/>
    <n v="0"/>
    <n v="0"/>
    <n v="0"/>
    <n v="3.68"/>
    <n v="0"/>
    <n v="0"/>
    <n v="0"/>
    <n v="91.99"/>
    <n v="0"/>
    <n v="88.31"/>
    <n v="1.46"/>
    <n v="6.71"/>
    <x v="0"/>
    <x v="0"/>
    <m/>
    <m/>
    <n v="0"/>
    <m/>
    <m/>
    <s v="'"/>
    <n v="91.99"/>
  </r>
  <r>
    <x v="0"/>
    <s v="0009763"/>
    <s v="2"/>
    <s v="NFS"/>
    <s v="17659"/>
    <x v="217"/>
    <x v="12"/>
    <s v="610611"/>
    <x v="0"/>
    <s v="348258"/>
    <s v="'01077399000171"/>
    <s v="SAO PAULO"/>
    <x v="0"/>
    <x v="1"/>
    <s v="Uso autorizado"/>
    <s v="'42250206013812000581550020000097631758917780"/>
    <s v="Normal"/>
    <n v="58.11"/>
    <n v="58.11"/>
    <n v="0"/>
    <n v="0"/>
    <n v="0"/>
    <n v="2.3199999999999998"/>
    <n v="0"/>
    <n v="0"/>
    <n v="0"/>
    <n v="58.11"/>
    <n v="0"/>
    <n v="55.79"/>
    <n v="0.92"/>
    <n v="4.24"/>
    <x v="0"/>
    <x v="0"/>
    <m/>
    <m/>
    <n v="0"/>
    <m/>
    <m/>
    <s v="'"/>
    <n v="58.11"/>
  </r>
  <r>
    <x v="0"/>
    <s v="0009764"/>
    <s v="2"/>
    <s v="NFS"/>
    <s v="36785"/>
    <x v="218"/>
    <x v="12"/>
    <s v="69929m"/>
    <x v="7"/>
    <s v="348123"/>
    <s v="'43890279000139"/>
    <s v="VILA VELHA"/>
    <x v="6"/>
    <x v="0"/>
    <s v="Documento Inutilizado"/>
    <s v="'42250206013812000581550020000097641757553057"/>
    <s v="Normal"/>
    <n v="12.5"/>
    <n v="12.5"/>
    <n v="0"/>
    <n v="0"/>
    <n v="0"/>
    <n v="0.5"/>
    <n v="0"/>
    <n v="0"/>
    <n v="0"/>
    <n v="0"/>
    <n v="0"/>
    <n v="12"/>
    <n v="0.2"/>
    <n v="0.91"/>
    <x v="0"/>
    <x v="1"/>
    <m/>
    <m/>
    <n v="0"/>
    <m/>
    <m/>
    <s v="'"/>
    <n v="12.5"/>
  </r>
  <r>
    <x v="0"/>
    <s v="0009765"/>
    <s v="2"/>
    <s v="NFS"/>
    <s v="40493"/>
    <x v="219"/>
    <x v="12"/>
    <s v="610611"/>
    <x v="0"/>
    <s v="347682"/>
    <s v="'23718918000176"/>
    <s v="SAO PAULO"/>
    <x v="0"/>
    <x v="1"/>
    <s v="Uso autorizado"/>
    <s v="'42250206013812000581550020000097651184564710"/>
    <s v="Normal"/>
    <n v="105"/>
    <n v="105"/>
    <n v="0"/>
    <n v="0"/>
    <n v="0"/>
    <n v="4.2"/>
    <n v="0"/>
    <n v="0"/>
    <n v="0"/>
    <n v="105"/>
    <n v="0"/>
    <n v="100.8"/>
    <n v="1.66"/>
    <n v="7.66"/>
    <x v="0"/>
    <x v="0"/>
    <m/>
    <m/>
    <n v="0"/>
    <m/>
    <m/>
    <s v="'"/>
    <n v="105"/>
  </r>
  <r>
    <x v="0"/>
    <s v="0009766"/>
    <s v="2"/>
    <s v="NFS"/>
    <s v="31572"/>
    <x v="178"/>
    <x v="12"/>
    <s v="510605"/>
    <x v="5"/>
    <s v="344289"/>
    <s v="'05360791000184"/>
    <s v="CRICIUMA"/>
    <x v="3"/>
    <x v="1"/>
    <s v="Uso autorizado"/>
    <s v="'42250206013812000581550020000097661097650241"/>
    <s v="Normal"/>
    <n v="2055.9"/>
    <n v="2055.9"/>
    <n v="0"/>
    <n v="0"/>
    <n v="0"/>
    <n v="82.24"/>
    <n v="0"/>
    <n v="0"/>
    <n v="0"/>
    <n v="2055.9"/>
    <n v="0"/>
    <n v="1973.66"/>
    <n v="32.57"/>
    <n v="150"/>
    <x v="0"/>
    <x v="0"/>
    <m/>
    <m/>
    <n v="0"/>
    <m/>
    <m/>
    <s v="'"/>
    <n v="2055.9"/>
  </r>
  <r>
    <x v="0"/>
    <s v="0009767"/>
    <s v="2"/>
    <s v="NFS"/>
    <s v="38284"/>
    <x v="11"/>
    <x v="12"/>
    <s v="59207i"/>
    <x v="6"/>
    <m/>
    <s v="'08248539000842"/>
    <s v="ITAJAI"/>
    <x v="3"/>
    <x v="1"/>
    <s v="Uso autorizado"/>
    <s v="'42250206013812000581550020000097671507008711"/>
    <s v="Normal"/>
    <n v="363.21"/>
    <n v="363.21"/>
    <n v="0"/>
    <n v="0"/>
    <n v="0"/>
    <n v="0"/>
    <n v="363.21"/>
    <n v="0"/>
    <n v="0"/>
    <n v="363.21"/>
    <n v="0"/>
    <n v="363.21"/>
    <n v="5.99"/>
    <n v="27.6"/>
    <x v="0"/>
    <x v="1"/>
    <m/>
    <m/>
    <n v="0"/>
    <m/>
    <m/>
    <s v="'"/>
    <n v="0"/>
  </r>
  <r>
    <x v="0"/>
    <s v="0009768"/>
    <s v="2"/>
    <s v="NFS"/>
    <s v="33346"/>
    <x v="220"/>
    <x v="12"/>
    <s v="610611"/>
    <x v="0"/>
    <s v="348186"/>
    <s v="'17711886000184"/>
    <s v="RIO DE JANEIRO"/>
    <x v="2"/>
    <x v="1"/>
    <s v="Uso autorizado"/>
    <s v="'42250206013812000581550020000097681151665552"/>
    <s v="Normal"/>
    <n v="30487.59"/>
    <n v="30487.59"/>
    <n v="0"/>
    <n v="0"/>
    <n v="0"/>
    <n v="1219.5"/>
    <n v="0"/>
    <n v="0"/>
    <n v="0"/>
    <n v="30487.59"/>
    <n v="0"/>
    <n v="29268.09"/>
    <n v="482.92"/>
    <n v="2224.39"/>
    <x v="0"/>
    <x v="0"/>
    <m/>
    <m/>
    <n v="0"/>
    <m/>
    <m/>
    <s v="'"/>
    <n v="30487.59"/>
  </r>
  <r>
    <x v="0"/>
    <s v="0009769"/>
    <s v="2"/>
    <s v="NFS"/>
    <s v="34233"/>
    <x v="221"/>
    <x v="12"/>
    <s v="610611"/>
    <x v="0"/>
    <s v="347232"/>
    <s v="'26088481000122"/>
    <s v="SAO PAULO"/>
    <x v="0"/>
    <x v="1"/>
    <s v="Uso autorizado"/>
    <s v="'42250206013812000581550020000097691267800003"/>
    <s v="Normal"/>
    <n v="9468.2999999999993"/>
    <n v="9468.2999999999993"/>
    <n v="0"/>
    <n v="0"/>
    <n v="0"/>
    <n v="378.73"/>
    <n v="0"/>
    <n v="0"/>
    <n v="0"/>
    <n v="9468.2999999999993"/>
    <n v="0"/>
    <n v="9089.57"/>
    <n v="149.97"/>
    <n v="690.82"/>
    <x v="0"/>
    <x v="0"/>
    <m/>
    <m/>
    <n v="0"/>
    <m/>
    <m/>
    <s v="'"/>
    <n v="9468.2999999999993"/>
  </r>
  <r>
    <x v="0"/>
    <s v="0009770"/>
    <s v="2"/>
    <s v="NFS"/>
    <s v="1551"/>
    <x v="222"/>
    <x v="12"/>
    <s v="610611"/>
    <x v="0"/>
    <s v="348332"/>
    <s v="'66320789000176"/>
    <s v="BELO HORIZONTE"/>
    <x v="4"/>
    <x v="1"/>
    <s v="Uso autorizado"/>
    <s v="'42250206013812000581550020000097701048237274"/>
    <s v="Normal"/>
    <n v="4278.5"/>
    <n v="4278.5"/>
    <n v="0"/>
    <n v="0"/>
    <n v="0"/>
    <n v="171.14"/>
    <n v="0"/>
    <n v="0"/>
    <n v="0"/>
    <n v="4278.5"/>
    <n v="0"/>
    <n v="4107.3599999999997"/>
    <n v="67.77"/>
    <n v="312.16000000000003"/>
    <x v="0"/>
    <x v="0"/>
    <m/>
    <m/>
    <n v="0"/>
    <m/>
    <m/>
    <s v="'"/>
    <n v="4278.5"/>
  </r>
  <r>
    <x v="0"/>
    <s v="0009771"/>
    <s v="2"/>
    <s v="NFS"/>
    <s v="36208"/>
    <x v="146"/>
    <x v="12"/>
    <s v="610611"/>
    <x v="0"/>
    <s v="348237"/>
    <s v="'35219660000142"/>
    <s v="RIO DE JANEIRO"/>
    <x v="2"/>
    <x v="1"/>
    <s v="Uso autorizado"/>
    <s v="'42250206013812000581550020000097711427307790"/>
    <s v="Normal"/>
    <n v="4080.29"/>
    <n v="4080.29"/>
    <n v="0"/>
    <n v="0"/>
    <n v="0"/>
    <n v="163.21"/>
    <n v="0"/>
    <n v="0"/>
    <n v="0"/>
    <n v="4080.29"/>
    <n v="0"/>
    <n v="3917.08"/>
    <n v="64.63"/>
    <n v="297.7"/>
    <x v="0"/>
    <x v="0"/>
    <m/>
    <m/>
    <n v="0"/>
    <m/>
    <m/>
    <s v="'"/>
    <n v="4080.29"/>
  </r>
  <r>
    <x v="0"/>
    <s v="0009772"/>
    <s v="2"/>
    <s v="NFS"/>
    <s v="35363"/>
    <x v="223"/>
    <x v="12"/>
    <s v="612305"/>
    <x v="1"/>
    <s v="347921"/>
    <s v="'18132490000145"/>
    <s v="SANTO ANDRE"/>
    <x v="0"/>
    <x v="1"/>
    <s v="Uso autorizado"/>
    <s v="'42250206013812000581550020000097721123546512"/>
    <s v="Normal"/>
    <n v="3957.72"/>
    <n v="3957.72"/>
    <n v="0"/>
    <n v="0"/>
    <n v="0"/>
    <n v="158.31"/>
    <n v="0"/>
    <n v="0"/>
    <n v="0"/>
    <n v="3957.72"/>
    <n v="0"/>
    <n v="3799.41"/>
    <n v="62.69"/>
    <n v="288.75"/>
    <x v="0"/>
    <x v="0"/>
    <n v="9773"/>
    <n v="2"/>
    <n v="35363"/>
    <s v="TOTINI CONFECCOES E MODA LTDA"/>
    <d v="2025-02-18T00:00:00"/>
    <s v="'42250206013812000581550020000097731079406290"/>
    <n v="3957.72"/>
  </r>
  <r>
    <x v="0"/>
    <s v="0009773"/>
    <s v="2"/>
    <s v="NFS"/>
    <s v="36471"/>
    <x v="224"/>
    <x v="12"/>
    <s v="612302"/>
    <x v="2"/>
    <m/>
    <s v="'19572038000167"/>
    <s v="SAO PAULO"/>
    <x v="0"/>
    <x v="1"/>
    <s v="Uso autorizado"/>
    <s v="'42250206013812000581550020000097731079406290"/>
    <s v="Normal"/>
    <n v="3957.72"/>
    <n v="3957.72"/>
    <n v="0"/>
    <n v="0"/>
    <n v="0"/>
    <n v="0"/>
    <n v="0"/>
    <n v="3957.72"/>
    <n v="0"/>
    <n v="3957.72"/>
    <n v="0"/>
    <n v="0"/>
    <n v="0"/>
    <n v="0"/>
    <x v="0"/>
    <x v="1"/>
    <n v="9772"/>
    <n v="2"/>
    <n v="36471"/>
    <s v="RJET COMERCIAL GRAFICA LTDA"/>
    <d v="2025-02-18T00:00:00"/>
    <s v="'42250206013812000581550020000097721123546512"/>
    <n v="0"/>
  </r>
  <r>
    <x v="0"/>
    <s v="0009774"/>
    <s v="2"/>
    <s v="NFS"/>
    <s v="38949"/>
    <x v="225"/>
    <x v="12"/>
    <s v="610611"/>
    <x v="0"/>
    <s v="348306"/>
    <s v="'42574522000147"/>
    <s v="SOROCABA"/>
    <x v="0"/>
    <x v="1"/>
    <s v="Uso autorizado"/>
    <s v="'42250206013812000581550020000097741368418422"/>
    <s v="Normal"/>
    <n v="3054.5"/>
    <n v="3054.5"/>
    <n v="0"/>
    <n v="0"/>
    <n v="0"/>
    <n v="122.18"/>
    <n v="0"/>
    <n v="0"/>
    <n v="0"/>
    <n v="3054.5"/>
    <n v="0"/>
    <n v="2932.32"/>
    <n v="48.38"/>
    <n v="222.86"/>
    <x v="0"/>
    <x v="0"/>
    <m/>
    <m/>
    <n v="0"/>
    <m/>
    <m/>
    <s v="'"/>
    <n v="3054.5"/>
  </r>
  <r>
    <x v="0"/>
    <s v="0009775"/>
    <s v="2"/>
    <s v="NFS"/>
    <s v="37425"/>
    <x v="226"/>
    <x v="12"/>
    <s v="510605"/>
    <x v="5"/>
    <s v="348272"/>
    <s v="'10158307000330"/>
    <s v="IÇARA"/>
    <x v="3"/>
    <x v="1"/>
    <s v="Uso autorizado"/>
    <s v="'42250206013812000581550020000097751589012868"/>
    <s v="Normal"/>
    <n v="5326.83"/>
    <n v="5326.83"/>
    <n v="0"/>
    <n v="0"/>
    <n v="0"/>
    <n v="213.07"/>
    <n v="0"/>
    <n v="0"/>
    <n v="0"/>
    <n v="5326.83"/>
    <n v="0"/>
    <n v="5113.76"/>
    <n v="84.38"/>
    <n v="388.65"/>
    <x v="0"/>
    <x v="0"/>
    <m/>
    <m/>
    <n v="0"/>
    <m/>
    <m/>
    <s v="'"/>
    <n v="5326.83"/>
  </r>
  <r>
    <x v="0"/>
    <s v="0009776"/>
    <s v="2"/>
    <s v="NFS"/>
    <s v="1470"/>
    <x v="76"/>
    <x v="12"/>
    <s v="610610"/>
    <x v="0"/>
    <s v="348267"/>
    <s v="'03486779000195"/>
    <s v="GOIANIA"/>
    <x v="11"/>
    <x v="1"/>
    <s v="Uso autorizado"/>
    <s v="'42250206013812000581550020000097761722429784"/>
    <s v="Normal"/>
    <n v="3822"/>
    <n v="3773"/>
    <n v="0"/>
    <n v="0"/>
    <n v="49"/>
    <n v="152.88"/>
    <n v="0"/>
    <n v="0"/>
    <n v="0"/>
    <n v="3822"/>
    <n v="0"/>
    <n v="3669.12"/>
    <n v="60.54"/>
    <n v="278.85000000000002"/>
    <x v="0"/>
    <x v="0"/>
    <m/>
    <m/>
    <n v="0"/>
    <m/>
    <m/>
    <s v="'"/>
    <n v="3822"/>
  </r>
  <r>
    <x v="0"/>
    <s v="0009777"/>
    <s v="2"/>
    <s v="NFS"/>
    <s v="19923"/>
    <x v="90"/>
    <x v="12"/>
    <s v="512301"/>
    <x v="10"/>
    <s v="347074"/>
    <s v="'00933691000186"/>
    <s v="MASSARANDUBA"/>
    <x v="3"/>
    <x v="1"/>
    <s v="Uso autorizado"/>
    <s v="'42250206013812000581550020000097771342897112"/>
    <s v="Normal"/>
    <n v="4765.2"/>
    <n v="4765.2"/>
    <n v="0"/>
    <n v="0"/>
    <n v="0"/>
    <n v="190.61"/>
    <n v="0"/>
    <n v="0"/>
    <n v="0"/>
    <n v="4765.2"/>
    <n v="0"/>
    <n v="4574.59"/>
    <n v="75.489999999999995"/>
    <n v="347.67"/>
    <x v="0"/>
    <x v="0"/>
    <n v="9778"/>
    <n v="2"/>
    <n v="19923"/>
    <s v="SIVALSKI INDUSTRIA TEXTIL LTDA"/>
    <d v="2025-02-18T00:00:00"/>
    <s v="'42250206013812000581550020000097781145342530"/>
    <n v="4765.2"/>
  </r>
  <r>
    <x v="0"/>
    <s v="0009778"/>
    <s v="2"/>
    <s v="NFS"/>
    <s v="38757"/>
    <x v="91"/>
    <x v="12"/>
    <s v="51212"/>
    <x v="11"/>
    <m/>
    <s v="'38830601000102"/>
    <s v="MASSARANDUBA"/>
    <x v="3"/>
    <x v="1"/>
    <s v="Uso autorizado"/>
    <s v="'42250206013812000581550020000097781145342530"/>
    <s v="Normal"/>
    <n v="4765.2"/>
    <n v="4765.2"/>
    <n v="0"/>
    <n v="0"/>
    <n v="0"/>
    <n v="0"/>
    <n v="4765.2"/>
    <n v="0"/>
    <n v="0"/>
    <n v="4765.2"/>
    <n v="0"/>
    <n v="0"/>
    <n v="0"/>
    <n v="0"/>
    <x v="0"/>
    <x v="1"/>
    <n v="9777"/>
    <n v="2"/>
    <n v="38757"/>
    <s v="MK SERVICOS TEXTEIS LTDA"/>
    <d v="2025-02-18T00:00:00"/>
    <s v="'42250206013812000581550020000097771342897112"/>
    <n v="0"/>
  </r>
  <r>
    <x v="0"/>
    <s v="0009779"/>
    <s v="2"/>
    <s v="NFS"/>
    <s v="35957"/>
    <x v="152"/>
    <x v="12"/>
    <s v="610610"/>
    <x v="0"/>
    <s v="348302"/>
    <s v="'37106444000116"/>
    <s v="COLATINA"/>
    <x v="6"/>
    <x v="1"/>
    <s v="Uso autorizado"/>
    <s v="'42250206013812000581550020000097791349204389"/>
    <s v="Normal"/>
    <n v="2650.36"/>
    <n v="2650.36"/>
    <n v="0"/>
    <n v="0"/>
    <n v="0"/>
    <n v="106.01"/>
    <n v="0"/>
    <n v="0"/>
    <n v="0"/>
    <n v="2650.36"/>
    <n v="0"/>
    <n v="2544.35"/>
    <n v="41.98"/>
    <n v="193.37"/>
    <x v="0"/>
    <x v="0"/>
    <m/>
    <m/>
    <n v="0"/>
    <m/>
    <m/>
    <s v="'"/>
    <n v="2650.36"/>
  </r>
  <r>
    <x v="0"/>
    <s v="0009780"/>
    <s v="2"/>
    <s v="NFS"/>
    <s v="29048"/>
    <x v="227"/>
    <x v="12"/>
    <s v="610610"/>
    <x v="0"/>
    <s v="348293"/>
    <s v="'39636527000142"/>
    <s v="CACHOEIRO DE ITAPEMIRIM"/>
    <x v="6"/>
    <x v="1"/>
    <s v="Uso autorizado"/>
    <s v="'42250206013812000581550020000097801299956430"/>
    <s v="Normal"/>
    <n v="3240"/>
    <n v="3240"/>
    <n v="0"/>
    <n v="0"/>
    <n v="0"/>
    <n v="129.6"/>
    <n v="0"/>
    <n v="0"/>
    <n v="0"/>
    <n v="3240"/>
    <n v="0"/>
    <n v="3110.4"/>
    <n v="51.32"/>
    <n v="236.4"/>
    <x v="0"/>
    <x v="0"/>
    <m/>
    <m/>
    <n v="0"/>
    <m/>
    <m/>
    <s v="'"/>
    <n v="3240"/>
  </r>
  <r>
    <x v="0"/>
    <s v="0009781"/>
    <s v="2"/>
    <s v="NFS"/>
    <s v="11919"/>
    <x v="96"/>
    <x v="12"/>
    <s v="610611"/>
    <x v="0"/>
    <s v="348227"/>
    <s v="'02537089000155"/>
    <s v="SAO PAULO"/>
    <x v="0"/>
    <x v="1"/>
    <s v="Uso autorizado"/>
    <s v="'42250206013812000581550020000097811853253116"/>
    <s v="Normal"/>
    <n v="5511.04"/>
    <n v="5511.04"/>
    <n v="0"/>
    <n v="0"/>
    <n v="0"/>
    <n v="220.44"/>
    <n v="0"/>
    <n v="0"/>
    <n v="0"/>
    <n v="5511.04"/>
    <n v="0"/>
    <n v="5290.6"/>
    <n v="87.3"/>
    <n v="402.08"/>
    <x v="0"/>
    <x v="0"/>
    <m/>
    <m/>
    <n v="0"/>
    <m/>
    <m/>
    <s v="'"/>
    <n v="5511.04"/>
  </r>
  <r>
    <x v="0"/>
    <s v="0009782"/>
    <s v="2"/>
    <s v="NFE"/>
    <s v="26715"/>
    <x v="59"/>
    <x v="13"/>
    <s v="31206"/>
    <x v="9"/>
    <s v=" "/>
    <s v="'"/>
    <s v="CHINA"/>
    <x v="10"/>
    <x v="1"/>
    <s v="Uso autorizado"/>
    <s v="'42250206013812000581550020000097821493176287"/>
    <s v="Normal"/>
    <n v="-948409.49"/>
    <n v="-652959.32999999996"/>
    <n v="-683.86"/>
    <n v="-263884.40000000002"/>
    <n v="-30881.9"/>
    <n v="0"/>
    <n v="-948409.49"/>
    <n v="0"/>
    <n v="0"/>
    <n v="-862501.61"/>
    <n v="0"/>
    <n v="-684525.09"/>
    <n v="-14375"/>
    <n v="-66056.67"/>
    <x v="0"/>
    <x v="1"/>
    <m/>
    <m/>
    <n v="0"/>
    <m/>
    <m/>
    <s v="'"/>
    <n v="0"/>
  </r>
  <r>
    <x v="0"/>
    <s v="0009783"/>
    <s v="2"/>
    <s v="NFS"/>
    <s v="37133"/>
    <x v="228"/>
    <x v="13"/>
    <s v="610611"/>
    <x v="0"/>
    <s v="348367"/>
    <s v="'13982612000179"/>
    <s v="DIVINOPOLIS"/>
    <x v="4"/>
    <x v="1"/>
    <s v="Uso autorizado"/>
    <s v="'42250206013812000581550020000097831000334588"/>
    <s v="Normal"/>
    <n v="7899.3"/>
    <n v="7899.3"/>
    <n v="0"/>
    <n v="0"/>
    <n v="0"/>
    <n v="315.97000000000003"/>
    <n v="0"/>
    <n v="0"/>
    <n v="0"/>
    <n v="7899.3"/>
    <n v="0"/>
    <n v="7583.33"/>
    <n v="125.12"/>
    <n v="576.34"/>
    <x v="0"/>
    <x v="0"/>
    <m/>
    <m/>
    <n v="0"/>
    <m/>
    <m/>
    <s v="'"/>
    <n v="7899.3"/>
  </r>
  <r>
    <x v="0"/>
    <s v="0009784"/>
    <s v="2"/>
    <s v="NFS"/>
    <s v="21934"/>
    <x v="28"/>
    <x v="13"/>
    <s v="612303"/>
    <x v="3"/>
    <s v="347116"/>
    <s v="'53398301000181"/>
    <s v="SAO PAULO"/>
    <x v="0"/>
    <x v="1"/>
    <s v="Uso autorizado"/>
    <s v="'42250206013812000581550020000097841227975410"/>
    <s v="Normal"/>
    <n v="27364.82"/>
    <n v="27364.82"/>
    <n v="0"/>
    <n v="0"/>
    <n v="0"/>
    <n v="1094.5899999999999"/>
    <n v="0"/>
    <n v="0"/>
    <n v="0"/>
    <n v="27364.82"/>
    <n v="0"/>
    <n v="26270.23"/>
    <n v="433.46"/>
    <n v="1996.54"/>
    <x v="0"/>
    <x v="0"/>
    <n v="9785"/>
    <n v="2"/>
    <n v="21934"/>
    <s v="CONF ESMERAL LTDA"/>
    <d v="2025-02-19T00:00:00"/>
    <s v="'42250206013812000581550020000097851034754509"/>
    <n v="27364.82"/>
  </r>
  <r>
    <x v="0"/>
    <s v="0009785"/>
    <s v="2"/>
    <s v="NFS"/>
    <s v="32872"/>
    <x v="29"/>
    <x v="13"/>
    <s v="612304"/>
    <x v="4"/>
    <m/>
    <s v="'24292349000102"/>
    <s v="SAO PAULO"/>
    <x v="0"/>
    <x v="1"/>
    <s v="Uso autorizado"/>
    <s v="'42250206013812000581550020000097851034754509"/>
    <s v="Normal"/>
    <n v="27364.82"/>
    <n v="27364.82"/>
    <n v="0"/>
    <n v="0"/>
    <n v="0"/>
    <n v="0"/>
    <n v="27364.82"/>
    <n v="0"/>
    <n v="0"/>
    <n v="27364.82"/>
    <n v="0"/>
    <n v="0"/>
    <n v="0"/>
    <n v="0"/>
    <x v="0"/>
    <x v="1"/>
    <n v="9784"/>
    <n v="2"/>
    <n v="32872"/>
    <s v="RKS MODAS LTDA"/>
    <d v="2025-02-19T00:00:00"/>
    <s v="'42250206013812000581550020000097841227975410"/>
    <n v="0"/>
  </r>
  <r>
    <x v="0"/>
    <s v="0009786"/>
    <s v="2"/>
    <s v="NFS"/>
    <s v="35695"/>
    <x v="229"/>
    <x v="13"/>
    <s v="610611"/>
    <x v="0"/>
    <s v="348279"/>
    <s v="'38304765000198"/>
    <s v="SAO PAULO"/>
    <x v="0"/>
    <x v="1"/>
    <s v="Uso autorizado"/>
    <s v="'42250206013812000581550020000097861679587782"/>
    <s v="Normal"/>
    <n v="8063.35"/>
    <n v="8063.35"/>
    <n v="0"/>
    <n v="0"/>
    <n v="0"/>
    <n v="322.52999999999997"/>
    <n v="0"/>
    <n v="0"/>
    <n v="0"/>
    <n v="8063.35"/>
    <n v="0"/>
    <n v="7740.82"/>
    <n v="127.72"/>
    <n v="588.29999999999995"/>
    <x v="0"/>
    <x v="0"/>
    <m/>
    <m/>
    <n v="0"/>
    <m/>
    <m/>
    <s v="'"/>
    <n v="8063.35"/>
  </r>
  <r>
    <x v="0"/>
    <s v="0009787"/>
    <s v="2"/>
    <s v="NFS"/>
    <s v="35215"/>
    <x v="230"/>
    <x v="13"/>
    <s v="610611"/>
    <x v="0"/>
    <s v="348336"/>
    <s v="'27194826000195"/>
    <s v="ASTORGA"/>
    <x v="5"/>
    <x v="1"/>
    <s v="Uso autorizado"/>
    <s v="'42250206013812000581550020000097871068966759"/>
    <s v="Normal"/>
    <n v="3125"/>
    <n v="3125"/>
    <n v="0"/>
    <n v="0"/>
    <n v="0"/>
    <n v="125"/>
    <n v="0"/>
    <n v="0"/>
    <n v="0"/>
    <n v="3125"/>
    <n v="0"/>
    <n v="3000"/>
    <n v="49.5"/>
    <n v="228"/>
    <x v="0"/>
    <x v="0"/>
    <m/>
    <m/>
    <n v="0"/>
    <m/>
    <m/>
    <s v="'"/>
    <n v="3125"/>
  </r>
  <r>
    <x v="0"/>
    <s v="0009788"/>
    <s v="2"/>
    <s v="NFS"/>
    <s v="25858"/>
    <x v="231"/>
    <x v="13"/>
    <s v="610611"/>
    <x v="0"/>
    <s v="348223"/>
    <s v="'11180686000166"/>
    <s v="AMERICANA"/>
    <x v="0"/>
    <x v="1"/>
    <s v="Uso autorizado"/>
    <s v="'42250206013812000581550020000097881782978394"/>
    <s v="Normal"/>
    <n v="6445.08"/>
    <n v="6445.08"/>
    <n v="0"/>
    <n v="0"/>
    <n v="0"/>
    <n v="257.8"/>
    <n v="0"/>
    <n v="0"/>
    <n v="0"/>
    <n v="6445.08"/>
    <n v="0"/>
    <n v="6187.28"/>
    <n v="102.1"/>
    <n v="470.22"/>
    <x v="0"/>
    <x v="0"/>
    <m/>
    <m/>
    <n v="0"/>
    <m/>
    <m/>
    <s v="'"/>
    <n v="6445.08"/>
  </r>
  <r>
    <x v="0"/>
    <s v="0009789"/>
    <s v="2"/>
    <s v="NFS"/>
    <s v="39826"/>
    <x v="232"/>
    <x v="13"/>
    <s v="610611"/>
    <x v="0"/>
    <s v="348379"/>
    <s v="'54425463000124"/>
    <s v="SAO JOAO NEPOMUCENO"/>
    <x v="4"/>
    <x v="1"/>
    <s v="Uso autorizado"/>
    <s v="'42250206013812000581550020000097891835057465"/>
    <s v="Normal"/>
    <n v="2818.88"/>
    <n v="2818.88"/>
    <n v="0"/>
    <n v="0"/>
    <n v="0"/>
    <n v="112.76"/>
    <n v="0"/>
    <n v="0"/>
    <n v="0"/>
    <n v="2818.88"/>
    <n v="0"/>
    <n v="2706.12"/>
    <n v="44.66"/>
    <n v="205.66"/>
    <x v="0"/>
    <x v="0"/>
    <m/>
    <m/>
    <n v="0"/>
    <m/>
    <m/>
    <s v="'"/>
    <n v="2818.88"/>
  </r>
  <r>
    <x v="0"/>
    <s v="0009790"/>
    <s v="2"/>
    <s v="NFS"/>
    <s v="36459"/>
    <x v="233"/>
    <x v="13"/>
    <s v="610611"/>
    <x v="0"/>
    <s v="348338"/>
    <s v="'59519397000175"/>
    <s v="SAO PAULO"/>
    <x v="0"/>
    <x v="1"/>
    <s v="Uso autorizado"/>
    <s v="'42250206013812000581550020000097901792220883"/>
    <s v="Normal"/>
    <n v="4737.1499999999996"/>
    <n v="4737.1499999999996"/>
    <n v="0"/>
    <n v="0"/>
    <n v="0"/>
    <n v="189.49"/>
    <n v="0"/>
    <n v="0"/>
    <n v="0"/>
    <n v="4737.1499999999996"/>
    <n v="0"/>
    <n v="4547.66"/>
    <n v="75.03"/>
    <n v="345.62"/>
    <x v="0"/>
    <x v="0"/>
    <m/>
    <m/>
    <n v="0"/>
    <m/>
    <m/>
    <s v="'"/>
    <n v="4737.1499999999996"/>
  </r>
  <r>
    <x v="0"/>
    <s v="0009791"/>
    <s v="2"/>
    <s v="NFS"/>
    <s v="38284"/>
    <x v="11"/>
    <x v="13"/>
    <s v="59207i"/>
    <x v="6"/>
    <m/>
    <s v="'08248539000842"/>
    <s v="ITAJAI"/>
    <x v="3"/>
    <x v="1"/>
    <s v="Uso autorizado"/>
    <s v="'42250206013812000581550020000097911998523331"/>
    <s v="Normal"/>
    <n v="652959.32999999996"/>
    <n v="652959.32999999996"/>
    <n v="0"/>
    <n v="0"/>
    <n v="0"/>
    <n v="0"/>
    <n v="652959.32999999996"/>
    <n v="0"/>
    <n v="0"/>
    <n v="652959.32999999996"/>
    <n v="0"/>
    <n v="652959.32999999996"/>
    <n v="10773.84"/>
    <n v="49624.92"/>
    <x v="0"/>
    <x v="1"/>
    <m/>
    <m/>
    <n v="0"/>
    <m/>
    <m/>
    <s v="'"/>
    <n v="0"/>
  </r>
  <r>
    <x v="0"/>
    <s v="0009792"/>
    <s v="2"/>
    <s v="NFS"/>
    <s v="36787"/>
    <x v="234"/>
    <x v="13"/>
    <s v="610610"/>
    <x v="0"/>
    <s v="348350"/>
    <s v="'29985398000144"/>
    <s v="COLATINA"/>
    <x v="6"/>
    <x v="1"/>
    <s v="Uso autorizado"/>
    <s v="'42250206013812000581550020000097921708645290"/>
    <s v="Normal"/>
    <n v="4050.3"/>
    <n v="4050.3"/>
    <n v="0"/>
    <n v="0"/>
    <n v="0"/>
    <n v="162.01"/>
    <n v="0"/>
    <n v="0"/>
    <n v="0"/>
    <n v="4050.3"/>
    <n v="0"/>
    <n v="3888.29"/>
    <n v="64.16"/>
    <n v="295.51"/>
    <x v="0"/>
    <x v="0"/>
    <m/>
    <m/>
    <n v="0"/>
    <m/>
    <m/>
    <s v="'"/>
    <n v="4050.3"/>
  </r>
  <r>
    <x v="0"/>
    <s v="0009793"/>
    <s v="2"/>
    <s v="NFS"/>
    <s v="11528"/>
    <x v="235"/>
    <x v="13"/>
    <s v="610611"/>
    <x v="0"/>
    <s v="348101"/>
    <s v="'05011351000111"/>
    <s v="SAO PAULO"/>
    <x v="0"/>
    <x v="1"/>
    <s v="Uso autorizado"/>
    <s v="'42250206013812000581550020000097931784709153"/>
    <s v="Normal"/>
    <n v="22022.11"/>
    <n v="22022.11"/>
    <n v="0"/>
    <n v="0"/>
    <n v="0"/>
    <n v="880.88"/>
    <n v="0"/>
    <n v="0"/>
    <n v="0"/>
    <n v="22022.11"/>
    <n v="0"/>
    <n v="21141.23"/>
    <n v="348.83"/>
    <n v="1606.73"/>
    <x v="0"/>
    <x v="0"/>
    <m/>
    <m/>
    <n v="0"/>
    <m/>
    <m/>
    <s v="'"/>
    <n v="22022.11"/>
  </r>
  <r>
    <x v="0"/>
    <s v="0009794"/>
    <s v="2"/>
    <s v="NFS"/>
    <s v="34979"/>
    <x v="236"/>
    <x v="13"/>
    <s v="610611"/>
    <x v="0"/>
    <s v="347567"/>
    <s v="'04916944000164"/>
    <s v="IBIRA"/>
    <x v="0"/>
    <x v="1"/>
    <s v="Uso autorizado"/>
    <s v="'42250206013812000581550020000097941112767900"/>
    <s v="Normal"/>
    <n v="4456.6499999999996"/>
    <n v="4456.6499999999996"/>
    <n v="0"/>
    <n v="0"/>
    <n v="0"/>
    <n v="178.27"/>
    <n v="0"/>
    <n v="0"/>
    <n v="0"/>
    <n v="4456.6499999999996"/>
    <n v="0"/>
    <n v="4278.38"/>
    <n v="70.599999999999994"/>
    <n v="325.14999999999998"/>
    <x v="0"/>
    <x v="0"/>
    <m/>
    <m/>
    <n v="0"/>
    <m/>
    <m/>
    <s v="'"/>
    <n v="4456.6499999999996"/>
  </r>
  <r>
    <x v="0"/>
    <s v="0009795"/>
    <s v="2"/>
    <s v="NFS"/>
    <s v="28320"/>
    <x v="237"/>
    <x v="13"/>
    <s v="510605"/>
    <x v="5"/>
    <s v="348371"/>
    <s v="'08761867000171"/>
    <s v="ARARANGUA"/>
    <x v="3"/>
    <x v="1"/>
    <s v="Uso autorizado"/>
    <s v="'42250206013812000581550020000097951899718079"/>
    <s v="Normal"/>
    <n v="5856.6"/>
    <n v="5856.6"/>
    <n v="0"/>
    <n v="0"/>
    <n v="0"/>
    <n v="234.26"/>
    <n v="0"/>
    <n v="0"/>
    <n v="0"/>
    <n v="5856.6"/>
    <n v="0"/>
    <n v="5622.34"/>
    <n v="92.77"/>
    <n v="427.29"/>
    <x v="0"/>
    <x v="0"/>
    <m/>
    <m/>
    <n v="0"/>
    <m/>
    <m/>
    <s v="'"/>
    <n v="5856.6"/>
  </r>
  <r>
    <x v="0"/>
    <s v="0009796"/>
    <s v="2"/>
    <s v="NFS"/>
    <s v="19249"/>
    <x v="238"/>
    <x v="13"/>
    <s v="610611"/>
    <x v="0"/>
    <s v="346576"/>
    <s v="'90687070000152"/>
    <s v="BOM PRINCIPIO"/>
    <x v="7"/>
    <x v="1"/>
    <s v="Uso autorizado"/>
    <s v="'42250206013812000581550020000097961331265867"/>
    <s v="Normal"/>
    <n v="6913.97"/>
    <n v="6913.97"/>
    <n v="0"/>
    <n v="0"/>
    <n v="0"/>
    <n v="276.56"/>
    <n v="0"/>
    <n v="0"/>
    <n v="0"/>
    <n v="6913.97"/>
    <n v="0"/>
    <n v="6637.41"/>
    <n v="109.51"/>
    <n v="504.43"/>
    <x v="0"/>
    <x v="0"/>
    <m/>
    <m/>
    <n v="0"/>
    <m/>
    <m/>
    <s v="'"/>
    <n v="6913.97"/>
  </r>
  <r>
    <x v="0"/>
    <s v="0009797"/>
    <s v="2"/>
    <s v="NFS"/>
    <s v="20144"/>
    <x v="239"/>
    <x v="13"/>
    <s v="610611"/>
    <x v="0"/>
    <s v="348324"/>
    <s v="'04267011000193"/>
    <s v="TIETE"/>
    <x v="0"/>
    <x v="1"/>
    <s v="Uso autorizado"/>
    <s v="'42250206013812000581550020000097971356148039"/>
    <s v="Normal"/>
    <n v="3040"/>
    <n v="3040"/>
    <n v="0"/>
    <n v="0"/>
    <n v="0"/>
    <n v="121.6"/>
    <n v="0"/>
    <n v="0"/>
    <n v="0"/>
    <n v="3040"/>
    <n v="0"/>
    <n v="2918.4"/>
    <n v="48.15"/>
    <n v="221.8"/>
    <x v="0"/>
    <x v="0"/>
    <m/>
    <m/>
    <n v="0"/>
    <m/>
    <m/>
    <s v="'"/>
    <n v="3040"/>
  </r>
  <r>
    <x v="0"/>
    <s v="0009798"/>
    <s v="2"/>
    <s v="NFS"/>
    <s v="37427"/>
    <x v="240"/>
    <x v="13"/>
    <s v="610611"/>
    <x v="0"/>
    <s v="347650"/>
    <s v="'43383908000134"/>
    <s v="PETROPOLIS"/>
    <x v="2"/>
    <x v="1"/>
    <s v="Uso autorizado"/>
    <s v="'42250206013812000581550020000097981780841517"/>
    <s v="Normal"/>
    <n v="17008.419999999998"/>
    <n v="17008.419999999998"/>
    <n v="0"/>
    <n v="0"/>
    <n v="0"/>
    <n v="680.34"/>
    <n v="0"/>
    <n v="0"/>
    <n v="0"/>
    <n v="17008.419999999998"/>
    <n v="0"/>
    <n v="16328.08"/>
    <n v="269.41000000000003"/>
    <n v="1240.93"/>
    <x v="0"/>
    <x v="0"/>
    <m/>
    <m/>
    <n v="0"/>
    <m/>
    <m/>
    <s v="'"/>
    <n v="17008.419999999998"/>
  </r>
  <r>
    <x v="0"/>
    <s v="0009799"/>
    <s v="2"/>
    <s v="NFS"/>
    <s v="35963"/>
    <x v="241"/>
    <x v="13"/>
    <s v="610610"/>
    <x v="0"/>
    <s v="347314"/>
    <s v="'39440628000143"/>
    <s v="MOSSORO"/>
    <x v="13"/>
    <x v="1"/>
    <s v="Uso autorizado"/>
    <s v="'42250206013812000581550020000097991749008695"/>
    <s v="Normal"/>
    <n v="3328.27"/>
    <n v="3328.27"/>
    <n v="0"/>
    <n v="0"/>
    <n v="0"/>
    <n v="133.13"/>
    <n v="0"/>
    <n v="0"/>
    <n v="0"/>
    <n v="3328.27"/>
    <n v="0"/>
    <n v="3195.14"/>
    <n v="52.72"/>
    <n v="242.83"/>
    <x v="0"/>
    <x v="0"/>
    <m/>
    <m/>
    <n v="0"/>
    <m/>
    <m/>
    <s v="'"/>
    <n v="3328.27"/>
  </r>
  <r>
    <x v="0"/>
    <s v="0009800"/>
    <s v="2"/>
    <s v="NFS"/>
    <s v="39596"/>
    <x v="242"/>
    <x v="13"/>
    <s v="610610"/>
    <x v="0"/>
    <s v="348090"/>
    <s v="'35942798000175"/>
    <s v="VILA VELHA"/>
    <x v="6"/>
    <x v="1"/>
    <s v="Uso autorizado"/>
    <s v="'42250206013812000581550020000098001938243031"/>
    <s v="Normal"/>
    <n v="3607.76"/>
    <n v="3607.76"/>
    <n v="0"/>
    <n v="0"/>
    <n v="0"/>
    <n v="144.31"/>
    <n v="0"/>
    <n v="0"/>
    <n v="0"/>
    <n v="3607.76"/>
    <n v="0"/>
    <n v="3463.45"/>
    <n v="57.15"/>
    <n v="263.23"/>
    <x v="0"/>
    <x v="0"/>
    <m/>
    <m/>
    <n v="0"/>
    <m/>
    <m/>
    <s v="'"/>
    <n v="3607.76"/>
  </r>
  <r>
    <x v="0"/>
    <s v="0009801"/>
    <s v="2"/>
    <s v="NFS"/>
    <s v="35734"/>
    <x v="243"/>
    <x v="13"/>
    <s v="610611"/>
    <x v="0"/>
    <s v="345843"/>
    <s v="'27891309000175"/>
    <s v="PETROPOLIS"/>
    <x v="2"/>
    <x v="1"/>
    <s v="Uso autorizado"/>
    <s v="'42250206013812000581550020000098011263386856"/>
    <s v="Normal"/>
    <n v="16730.45"/>
    <n v="16730.45"/>
    <n v="0"/>
    <n v="0"/>
    <n v="0"/>
    <n v="669.22"/>
    <n v="0"/>
    <n v="0"/>
    <n v="0"/>
    <n v="16730.45"/>
    <n v="0"/>
    <n v="16061.23"/>
    <n v="265.01"/>
    <n v="1220.6500000000001"/>
    <x v="0"/>
    <x v="0"/>
    <m/>
    <m/>
    <n v="0"/>
    <m/>
    <m/>
    <s v="'"/>
    <n v="16730.45"/>
  </r>
  <r>
    <x v="0"/>
    <s v="0009802"/>
    <s v="2"/>
    <s v="NFS"/>
    <s v="23653"/>
    <x v="127"/>
    <x v="13"/>
    <s v="510601"/>
    <x v="5"/>
    <s v="346364"/>
    <s v="'79525242000159"/>
    <s v="BLUMENAU"/>
    <x v="3"/>
    <x v="1"/>
    <s v="Uso autorizado"/>
    <s v="'42250206013812000581550020000098021323642915"/>
    <s v="Normal"/>
    <n v="5169.5"/>
    <n v="5099.5"/>
    <n v="0"/>
    <n v="0"/>
    <n v="70"/>
    <n v="206.78"/>
    <n v="0"/>
    <n v="0"/>
    <n v="0"/>
    <n v="5169.5"/>
    <n v="0"/>
    <n v="4962.72"/>
    <n v="81.88"/>
    <n v="377.17"/>
    <x v="0"/>
    <x v="0"/>
    <m/>
    <m/>
    <n v="0"/>
    <m/>
    <m/>
    <s v="'"/>
    <n v="5169.5"/>
  </r>
  <r>
    <x v="0"/>
    <s v="0009803"/>
    <s v="2"/>
    <s v="NFS"/>
    <s v="39754"/>
    <x v="244"/>
    <x v="13"/>
    <s v="610610"/>
    <x v="0"/>
    <s v="348361"/>
    <s v="'30260858000156"/>
    <s v="CARIACICA"/>
    <x v="6"/>
    <x v="1"/>
    <s v="Uso autorizado"/>
    <s v="'42250206013812000581550020000098031458149580"/>
    <s v="Normal"/>
    <n v="2673"/>
    <n v="2673"/>
    <n v="0"/>
    <n v="0"/>
    <n v="0"/>
    <n v="106.92"/>
    <n v="0"/>
    <n v="0"/>
    <n v="0"/>
    <n v="2673"/>
    <n v="0"/>
    <n v="2566.08"/>
    <n v="42.34"/>
    <n v="195.03"/>
    <x v="0"/>
    <x v="0"/>
    <m/>
    <m/>
    <n v="0"/>
    <m/>
    <m/>
    <s v="'"/>
    <n v="2673"/>
  </r>
  <r>
    <x v="0"/>
    <s v="0009804"/>
    <s v="2"/>
    <s v="NFS"/>
    <s v="34786"/>
    <x v="245"/>
    <x v="13"/>
    <s v="610610"/>
    <x v="0"/>
    <s v="347905"/>
    <s v="'35112700000152"/>
    <s v="CARIACICA"/>
    <x v="6"/>
    <x v="1"/>
    <s v="Uso autorizado"/>
    <s v="'42250206013812000581550020000098041050371713"/>
    <s v="Normal"/>
    <n v="16795.8"/>
    <n v="16795.8"/>
    <n v="0"/>
    <n v="0"/>
    <n v="0"/>
    <n v="671.83"/>
    <n v="0"/>
    <n v="0"/>
    <n v="0"/>
    <n v="16795.8"/>
    <n v="0"/>
    <n v="16123.97"/>
    <n v="266.04000000000002"/>
    <n v="1225.44"/>
    <x v="0"/>
    <x v="0"/>
    <m/>
    <m/>
    <n v="0"/>
    <m/>
    <m/>
    <s v="'"/>
    <n v="16795.8"/>
  </r>
  <r>
    <x v="0"/>
    <s v="0009805"/>
    <s v="2"/>
    <s v="NFS"/>
    <s v="38002"/>
    <x v="246"/>
    <x v="13"/>
    <s v="610611"/>
    <x v="0"/>
    <s v="348040"/>
    <s v="'48982831000132"/>
    <s v="SAO PAULO"/>
    <x v="0"/>
    <x v="1"/>
    <s v="Uso autorizado"/>
    <s v="'42250206013812000581550020000098051865917760"/>
    <s v="Normal"/>
    <n v="17820.03"/>
    <n v="17820.03"/>
    <n v="0"/>
    <n v="0"/>
    <n v="0"/>
    <n v="712.8"/>
    <n v="0"/>
    <n v="0"/>
    <n v="0"/>
    <n v="17820.03"/>
    <n v="0"/>
    <n v="17107.23"/>
    <n v="282.27"/>
    <n v="1300.1400000000001"/>
    <x v="0"/>
    <x v="0"/>
    <m/>
    <m/>
    <n v="0"/>
    <m/>
    <m/>
    <s v="'"/>
    <n v="17820.03"/>
  </r>
  <r>
    <x v="0"/>
    <s v="0009806"/>
    <s v="2"/>
    <s v="NFS"/>
    <s v="22937"/>
    <x v="247"/>
    <x v="13"/>
    <s v="610610"/>
    <x v="0"/>
    <s v="347354"/>
    <s v="'07604737000162"/>
    <s v="FEIRA DE SANTANA"/>
    <x v="8"/>
    <x v="1"/>
    <s v="Uso autorizado"/>
    <s v="'42250206013812000581550020000098061388723102"/>
    <s v="Normal"/>
    <n v="11473.35"/>
    <n v="11473.35"/>
    <n v="0"/>
    <n v="0"/>
    <n v="0"/>
    <n v="458.93"/>
    <n v="0"/>
    <n v="0"/>
    <n v="0"/>
    <n v="11473.35"/>
    <n v="0"/>
    <n v="11014.42"/>
    <n v="181.73"/>
    <n v="837.09"/>
    <x v="0"/>
    <x v="0"/>
    <m/>
    <m/>
    <n v="0"/>
    <m/>
    <m/>
    <s v="'"/>
    <n v="11473.35"/>
  </r>
  <r>
    <x v="0"/>
    <s v="0009807"/>
    <s v="2"/>
    <s v="NFS"/>
    <s v="35321"/>
    <x v="248"/>
    <x v="14"/>
    <s v="610611"/>
    <x v="0"/>
    <s v="346840"/>
    <s v="'37968766000174"/>
    <s v="IPATINGA"/>
    <x v="4"/>
    <x v="1"/>
    <s v="Uso autorizado"/>
    <s v="'42250206013812000581550020000098071705833414"/>
    <s v="Normal"/>
    <n v="7552.76"/>
    <n v="7552.76"/>
    <n v="0"/>
    <n v="0"/>
    <n v="0"/>
    <n v="302.11"/>
    <n v="0"/>
    <n v="0"/>
    <n v="0"/>
    <n v="7552.76"/>
    <n v="0"/>
    <n v="7250.65"/>
    <n v="119.63"/>
    <n v="551.04"/>
    <x v="0"/>
    <x v="0"/>
    <m/>
    <m/>
    <n v="0"/>
    <m/>
    <m/>
    <s v="'"/>
    <n v="7552.76"/>
  </r>
  <r>
    <x v="0"/>
    <s v="0009808"/>
    <s v="2"/>
    <s v="NFS"/>
    <s v="35396"/>
    <x v="249"/>
    <x v="14"/>
    <s v="610611"/>
    <x v="0"/>
    <s v="348105"/>
    <s v="'09136332000172"/>
    <s v="SAO PAULO"/>
    <x v="0"/>
    <x v="1"/>
    <s v="Uso autorizado"/>
    <s v="'42250206013812000581550020000098081486933815"/>
    <s v="Normal"/>
    <n v="6106"/>
    <n v="6106"/>
    <n v="0"/>
    <n v="0"/>
    <n v="0"/>
    <n v="244.24"/>
    <n v="0"/>
    <n v="0"/>
    <n v="0"/>
    <n v="6106"/>
    <n v="0"/>
    <n v="5861.76"/>
    <n v="96.71"/>
    <n v="445.48"/>
    <x v="0"/>
    <x v="0"/>
    <m/>
    <m/>
    <n v="0"/>
    <m/>
    <m/>
    <s v="'"/>
    <n v="6106"/>
  </r>
  <r>
    <x v="0"/>
    <s v="0009809"/>
    <s v="2"/>
    <s v="NFS"/>
    <s v="25774"/>
    <x v="250"/>
    <x v="14"/>
    <s v="510601"/>
    <x v="5"/>
    <s v="346205"/>
    <s v="'81563397000121"/>
    <s v="GASPAR"/>
    <x v="3"/>
    <x v="1"/>
    <s v="Uso autorizado"/>
    <s v="'42250206013812000581550020000098091643530078"/>
    <s v="Normal"/>
    <n v="15522.72"/>
    <n v="15522.72"/>
    <n v="0"/>
    <n v="0"/>
    <n v="0"/>
    <n v="620.91"/>
    <n v="0"/>
    <n v="0"/>
    <n v="0"/>
    <n v="15522.72"/>
    <n v="0"/>
    <n v="14901.81"/>
    <n v="245.88"/>
    <n v="1132.54"/>
    <x v="0"/>
    <x v="0"/>
    <m/>
    <m/>
    <n v="0"/>
    <m/>
    <m/>
    <s v="'"/>
    <n v="15522.72"/>
  </r>
  <r>
    <x v="0"/>
    <s v="0009810"/>
    <s v="2"/>
    <s v="NFS"/>
    <s v="25774"/>
    <x v="250"/>
    <x v="14"/>
    <s v="510601"/>
    <x v="5"/>
    <s v="346281"/>
    <s v="'81563397000121"/>
    <s v="GASPAR"/>
    <x v="3"/>
    <x v="1"/>
    <s v="Uso autorizado"/>
    <s v="'42250206013812000581550020000098101913730121"/>
    <s v="Normal"/>
    <n v="15815.1"/>
    <n v="15815.1"/>
    <n v="0"/>
    <n v="0"/>
    <n v="0"/>
    <n v="632.6"/>
    <n v="0"/>
    <n v="0"/>
    <n v="0"/>
    <n v="15815.1"/>
    <n v="0"/>
    <n v="15182.5"/>
    <n v="250.51"/>
    <n v="1153.8699999999999"/>
    <x v="0"/>
    <x v="0"/>
    <m/>
    <m/>
    <n v="0"/>
    <m/>
    <m/>
    <s v="'"/>
    <n v="15815.1"/>
  </r>
  <r>
    <x v="0"/>
    <s v="0009811"/>
    <s v="2"/>
    <s v="NFS"/>
    <s v="26555"/>
    <x v="251"/>
    <x v="14"/>
    <s v="610611"/>
    <x v="0"/>
    <s v="347549"/>
    <s v="'45991171000168"/>
    <s v="CAMPINAS"/>
    <x v="0"/>
    <x v="1"/>
    <s v="Uso autorizado"/>
    <s v="'42250206013812000581550020000098111957785379"/>
    <s v="Normal"/>
    <n v="93.73"/>
    <n v="65.7"/>
    <n v="0"/>
    <n v="0"/>
    <n v="28.03"/>
    <n v="3.75"/>
    <n v="0"/>
    <n v="0"/>
    <n v="0"/>
    <n v="65.7"/>
    <n v="0"/>
    <n v="89.98"/>
    <n v="1.48"/>
    <n v="6.84"/>
    <x v="0"/>
    <x v="0"/>
    <m/>
    <m/>
    <n v="0"/>
    <m/>
    <m/>
    <s v="'"/>
    <n v="93.73"/>
  </r>
  <r>
    <x v="0"/>
    <s v="0009812"/>
    <s v="2"/>
    <s v="NFS"/>
    <s v="39379"/>
    <x v="151"/>
    <x v="14"/>
    <s v="510601"/>
    <x v="5"/>
    <s v="347894"/>
    <s v="'40140690000107"/>
    <s v="BLUMENAU"/>
    <x v="3"/>
    <x v="1"/>
    <s v="Uso autorizado"/>
    <s v="'42250206013812000581550020000098121408182451"/>
    <s v="Normal"/>
    <n v="80.069999999999993"/>
    <n v="68.91"/>
    <n v="0"/>
    <n v="0"/>
    <n v="11.16"/>
    <n v="3.2"/>
    <n v="0"/>
    <n v="0"/>
    <n v="0"/>
    <n v="80.069999999999993"/>
    <n v="0"/>
    <n v="76.87"/>
    <n v="1.27"/>
    <n v="5.84"/>
    <x v="0"/>
    <x v="0"/>
    <m/>
    <m/>
    <n v="0"/>
    <m/>
    <m/>
    <s v="'"/>
    <n v="80.069999999999993"/>
  </r>
  <r>
    <x v="0"/>
    <s v="0009813"/>
    <s v="2"/>
    <s v="NFS"/>
    <s v="37423"/>
    <x v="116"/>
    <x v="14"/>
    <s v="610611"/>
    <x v="0"/>
    <s v="347678"/>
    <s v="'30040644000174"/>
    <s v="CERQUILHO"/>
    <x v="0"/>
    <x v="1"/>
    <s v="Uso autorizado"/>
    <s v="'42250206013812000581550020000098131297447999"/>
    <s v="Normal"/>
    <n v="258.45"/>
    <n v="219"/>
    <n v="0"/>
    <n v="0"/>
    <n v="39.450000000000003"/>
    <n v="10.34"/>
    <n v="0"/>
    <n v="0"/>
    <n v="0"/>
    <n v="219"/>
    <n v="0"/>
    <n v="248.11"/>
    <n v="4.0999999999999996"/>
    <n v="18.86"/>
    <x v="0"/>
    <x v="0"/>
    <m/>
    <m/>
    <n v="0"/>
    <m/>
    <m/>
    <s v="'"/>
    <n v="258.45"/>
  </r>
  <r>
    <x v="0"/>
    <s v="0009814"/>
    <s v="2"/>
    <s v="NFS"/>
    <s v="33688"/>
    <x v="252"/>
    <x v="14"/>
    <s v="610611"/>
    <x v="0"/>
    <s v="346817"/>
    <s v="'28483094000116"/>
    <s v="AMERICANA"/>
    <x v="0"/>
    <x v="1"/>
    <s v="Uso autorizado"/>
    <s v="'42250206013812000581550020000098141572281631"/>
    <s v="Normal"/>
    <n v="71.83"/>
    <n v="43.8"/>
    <n v="0"/>
    <n v="0"/>
    <n v="28.03"/>
    <n v="2.87"/>
    <n v="0"/>
    <n v="0"/>
    <n v="0"/>
    <n v="43.8"/>
    <n v="0"/>
    <n v="68.959999999999994"/>
    <n v="1.1399999999999999"/>
    <n v="5.24"/>
    <x v="0"/>
    <x v="0"/>
    <m/>
    <m/>
    <n v="0"/>
    <m/>
    <m/>
    <s v="'"/>
    <n v="71.83"/>
  </r>
  <r>
    <x v="0"/>
    <s v="0009815"/>
    <s v="2"/>
    <s v="NFS"/>
    <s v="36485"/>
    <x v="159"/>
    <x v="14"/>
    <s v="610611"/>
    <x v="0"/>
    <s v="348122"/>
    <s v="'17772910000195"/>
    <s v="SAO PAULO"/>
    <x v="0"/>
    <x v="1"/>
    <s v="Uso autorizado"/>
    <s v="'42250206013812000581550020000098151276850934"/>
    <s v="Normal"/>
    <n v="44.72"/>
    <n v="44.72"/>
    <n v="0"/>
    <n v="0"/>
    <n v="0"/>
    <n v="1.79"/>
    <n v="0"/>
    <n v="0"/>
    <n v="0"/>
    <n v="44.72"/>
    <n v="0"/>
    <n v="42.93"/>
    <n v="0.71"/>
    <n v="3.26"/>
    <x v="0"/>
    <x v="0"/>
    <m/>
    <m/>
    <n v="0"/>
    <m/>
    <m/>
    <s v="'"/>
    <n v="44.72"/>
  </r>
  <r>
    <x v="0"/>
    <s v="0009816"/>
    <s v="2"/>
    <s v="NFS"/>
    <s v="18685"/>
    <x v="253"/>
    <x v="14"/>
    <s v="610611"/>
    <x v="0"/>
    <s v="348323"/>
    <s v="'08953848000147"/>
    <s v="LINDOIA"/>
    <x v="0"/>
    <x v="0"/>
    <s v="Documento Cancelado"/>
    <s v="'42250206013812000581550020000098161232951295"/>
    <s v="Normal"/>
    <n v="33.85"/>
    <n v="33.85"/>
    <n v="0"/>
    <n v="0"/>
    <n v="0"/>
    <n v="1.35"/>
    <n v="0"/>
    <n v="0"/>
    <n v="0"/>
    <n v="33.85"/>
    <n v="0"/>
    <n v="32.5"/>
    <n v="0.54"/>
    <n v="2.4700000000000002"/>
    <x v="0"/>
    <x v="0"/>
    <m/>
    <m/>
    <n v="0"/>
    <m/>
    <m/>
    <s v="'"/>
    <n v="33.85"/>
  </r>
  <r>
    <x v="0"/>
    <s v="0009817"/>
    <s v="2"/>
    <s v="NFS"/>
    <s v="35512"/>
    <x v="254"/>
    <x v="14"/>
    <s v="610610"/>
    <x v="0"/>
    <s v="348356"/>
    <s v="'30740342000109"/>
    <s v="VILA VELHA"/>
    <x v="6"/>
    <x v="1"/>
    <s v="Uso autorizado"/>
    <s v="'42250206013812000581550020000098171111829798"/>
    <s v="Normal"/>
    <n v="4331.33"/>
    <n v="4331.33"/>
    <n v="0"/>
    <n v="0"/>
    <n v="0"/>
    <n v="173.25"/>
    <n v="0"/>
    <n v="0"/>
    <n v="0"/>
    <n v="4331.33"/>
    <n v="0"/>
    <n v="4158.08"/>
    <n v="68.61"/>
    <n v="316.02"/>
    <x v="0"/>
    <x v="0"/>
    <m/>
    <m/>
    <n v="0"/>
    <m/>
    <m/>
    <s v="'"/>
    <n v="4331.33"/>
  </r>
  <r>
    <x v="0"/>
    <s v="0009818"/>
    <s v="2"/>
    <s v="NFS"/>
    <s v="40532"/>
    <x v="255"/>
    <x v="14"/>
    <s v="610611"/>
    <x v="0"/>
    <s v="348284"/>
    <s v="'54854590000149"/>
    <s v="NOVO HAMBURGO"/>
    <x v="7"/>
    <x v="1"/>
    <s v="Uso autorizado"/>
    <s v="'42250206013812000581550020000098181534668361"/>
    <s v="Normal"/>
    <n v="3857.24"/>
    <n v="3857.24"/>
    <n v="0"/>
    <n v="0"/>
    <n v="0"/>
    <n v="154.29"/>
    <n v="0"/>
    <n v="0"/>
    <n v="0"/>
    <n v="3857.24"/>
    <n v="0"/>
    <n v="3702.95"/>
    <n v="61.11"/>
    <n v="281.42"/>
    <x v="0"/>
    <x v="0"/>
    <m/>
    <m/>
    <n v="0"/>
    <m/>
    <m/>
    <s v="'"/>
    <n v="3857.24"/>
  </r>
  <r>
    <x v="0"/>
    <s v="0009819"/>
    <s v="2"/>
    <s v="NFE"/>
    <s v="26715"/>
    <x v="59"/>
    <x v="14"/>
    <s v="31206"/>
    <x v="9"/>
    <s v=" "/>
    <s v="'"/>
    <s v="CHINA"/>
    <x v="10"/>
    <x v="1"/>
    <s v="Uso autorizado"/>
    <s v="'42250206013812000581550020000098191065359903"/>
    <s v="Normal"/>
    <n v="-389135.51"/>
    <n v="-254371.99"/>
    <n v="-280.56"/>
    <n v="-108272.62"/>
    <n v="-26210.34"/>
    <n v="0"/>
    <n v="-389135.51"/>
    <n v="0"/>
    <n v="0"/>
    <n v="-353887.24"/>
    <n v="0"/>
    <n v="-280862.89"/>
    <n v="-5898.11"/>
    <n v="-27103.279999999999"/>
    <x v="0"/>
    <x v="1"/>
    <m/>
    <m/>
    <n v="0"/>
    <m/>
    <m/>
    <s v="'"/>
    <n v="0"/>
  </r>
  <r>
    <x v="0"/>
    <s v="0009820"/>
    <s v="2"/>
    <s v="NFS"/>
    <s v="38284"/>
    <x v="11"/>
    <x v="14"/>
    <s v="59207i"/>
    <x v="6"/>
    <m/>
    <s v="'08248539000842"/>
    <s v="ITAJAI"/>
    <x v="3"/>
    <x v="1"/>
    <s v="Uso autorizado"/>
    <s v="'42250206013812000581550020000098201166655363"/>
    <s v="Normal"/>
    <n v="240.56"/>
    <n v="240.56"/>
    <n v="0"/>
    <n v="0"/>
    <n v="0"/>
    <n v="0"/>
    <n v="240.56"/>
    <n v="0"/>
    <n v="0"/>
    <n v="240.56"/>
    <n v="0"/>
    <n v="240.56"/>
    <n v="3.97"/>
    <n v="18.28"/>
    <x v="0"/>
    <x v="1"/>
    <m/>
    <m/>
    <n v="0"/>
    <m/>
    <m/>
    <s v="'"/>
    <n v="0"/>
  </r>
  <r>
    <x v="0"/>
    <s v="0009821"/>
    <s v="2"/>
    <s v="NFS"/>
    <s v="31955"/>
    <x v="256"/>
    <x v="14"/>
    <s v="612303"/>
    <x v="3"/>
    <s v="348325"/>
    <s v="'07123554000125"/>
    <s v="SAO PAULO"/>
    <x v="0"/>
    <x v="1"/>
    <s v="Uso autorizado"/>
    <s v="'42250206013812000581550020000098211572739390"/>
    <s v="Normal"/>
    <n v="68.95"/>
    <n v="40.92"/>
    <n v="0"/>
    <n v="0"/>
    <n v="28.03"/>
    <n v="2.76"/>
    <n v="0"/>
    <n v="0"/>
    <n v="0"/>
    <n v="68.95"/>
    <n v="0"/>
    <n v="66.19"/>
    <n v="1.0900000000000001"/>
    <n v="5.03"/>
    <x v="0"/>
    <x v="0"/>
    <n v="9822"/>
    <n v="2"/>
    <n v="31955"/>
    <s v="GDN IND E COM DE CONF LTDA"/>
    <d v="2025-02-20T00:00:00"/>
    <s v="'42250206013812000581550020000098221827513070"/>
    <n v="68.95"/>
  </r>
  <r>
    <x v="0"/>
    <s v="0009822"/>
    <s v="2"/>
    <s v="NFS"/>
    <s v="40538"/>
    <x v="257"/>
    <x v="14"/>
    <s v="612304"/>
    <x v="4"/>
    <m/>
    <s v="'39779446000100"/>
    <s v="SAO JOSE DO RIO PRETO"/>
    <x v="0"/>
    <x v="1"/>
    <s v="Uso autorizado"/>
    <s v="'42250206013812000581550020000098221827513070"/>
    <s v="Normal"/>
    <n v="68.95"/>
    <n v="40.92"/>
    <n v="0"/>
    <n v="0"/>
    <n v="0"/>
    <n v="0"/>
    <n v="68.95"/>
    <n v="0"/>
    <n v="0"/>
    <n v="68.95"/>
    <n v="0"/>
    <n v="0"/>
    <n v="0"/>
    <n v="0"/>
    <x v="0"/>
    <x v="1"/>
    <n v="9821"/>
    <n v="2"/>
    <n v="40538"/>
    <s v="EMBALLEGE 21 LTDA"/>
    <d v="2025-02-20T00:00:00"/>
    <s v="'42250206013812000581550020000098211572739390"/>
    <n v="0"/>
  </r>
  <r>
    <x v="0"/>
    <s v="0009823"/>
    <s v="2"/>
    <s v="NFS"/>
    <s v="36751"/>
    <x v="258"/>
    <x v="14"/>
    <s v="610611"/>
    <x v="0"/>
    <s v="348430"/>
    <s v="'37668466000170"/>
    <s v="BELO HORIZONTE"/>
    <x v="4"/>
    <x v="1"/>
    <s v="Uso autorizado"/>
    <s v="'42250206013812000581550020000098231070150947"/>
    <s v="Normal"/>
    <n v="4351.87"/>
    <n v="4351.87"/>
    <n v="0"/>
    <n v="0"/>
    <n v="0"/>
    <n v="174.07"/>
    <n v="0"/>
    <n v="0"/>
    <n v="0"/>
    <n v="4351.87"/>
    <n v="0"/>
    <n v="4177.8"/>
    <n v="68.930000000000007"/>
    <n v="317.52"/>
    <x v="0"/>
    <x v="0"/>
    <m/>
    <m/>
    <n v="0"/>
    <m/>
    <m/>
    <s v="'"/>
    <n v="4351.87"/>
  </r>
  <r>
    <x v="0"/>
    <s v="0009824"/>
    <s v="2"/>
    <s v="NFS"/>
    <s v="38458"/>
    <x v="259"/>
    <x v="14"/>
    <s v="610610"/>
    <x v="0"/>
    <s v="348203"/>
    <s v="'22347299000198"/>
    <s v="GOIANIA"/>
    <x v="11"/>
    <x v="1"/>
    <s v="Uso autorizado"/>
    <s v="'42250206013812000581550020000098241586876418"/>
    <s v="Normal"/>
    <n v="3906"/>
    <n v="3906"/>
    <n v="0"/>
    <n v="0"/>
    <n v="0"/>
    <n v="156.24"/>
    <n v="0"/>
    <n v="0"/>
    <n v="0"/>
    <n v="3906"/>
    <n v="0"/>
    <n v="3749.76"/>
    <n v="61.87"/>
    <n v="284.98"/>
    <x v="0"/>
    <x v="0"/>
    <m/>
    <m/>
    <n v="0"/>
    <m/>
    <m/>
    <s v="'"/>
    <n v="3906"/>
  </r>
  <r>
    <x v="0"/>
    <s v="0009825"/>
    <s v="2"/>
    <s v="NFS"/>
    <s v="31693"/>
    <x v="72"/>
    <x v="14"/>
    <s v="510601"/>
    <x v="5"/>
    <s v="347544"/>
    <s v="'11178950000127"/>
    <s v="JARAGUA DO SUL"/>
    <x v="3"/>
    <x v="1"/>
    <s v="Uso autorizado"/>
    <s v="'42250206013812000581550020000098251419864450"/>
    <s v="Normal"/>
    <n v="15487.5"/>
    <n v="15000"/>
    <n v="0"/>
    <n v="0"/>
    <n v="0"/>
    <n v="600"/>
    <n v="0"/>
    <n v="0"/>
    <n v="487.5"/>
    <n v="0"/>
    <n v="0"/>
    <n v="14400"/>
    <n v="237.6"/>
    <n v="1094.4000000000001"/>
    <x v="0"/>
    <x v="0"/>
    <m/>
    <m/>
    <n v="0"/>
    <m/>
    <m/>
    <s v="'"/>
    <n v="15000"/>
  </r>
  <r>
    <x v="0"/>
    <s v="0009826"/>
    <s v="2"/>
    <s v="NFS"/>
    <s v="26867"/>
    <x v="260"/>
    <x v="14"/>
    <s v="510611"/>
    <x v="5"/>
    <s v="348315"/>
    <s v="'82698085000198"/>
    <s v="JARAGUA DO SUL"/>
    <x v="3"/>
    <x v="1"/>
    <s v="Uso autorizado"/>
    <s v="'42250206013812000581550020000098261270380522"/>
    <s v="Normal"/>
    <n v="60523.199999999997"/>
    <n v="60523.199999999997"/>
    <n v="0"/>
    <n v="0"/>
    <n v="0"/>
    <n v="0"/>
    <n v="60523.199999999997"/>
    <n v="0"/>
    <n v="0"/>
    <n v="60523.199999999997"/>
    <n v="0"/>
    <n v="60523.199999999997"/>
    <n v="998.63"/>
    <n v="4599.76"/>
    <x v="0"/>
    <x v="0"/>
    <m/>
    <m/>
    <n v="0"/>
    <m/>
    <m/>
    <s v="'"/>
    <n v="0"/>
  </r>
  <r>
    <x v="0"/>
    <s v="0009827"/>
    <s v="2"/>
    <s v="NFS"/>
    <s v="26971"/>
    <x v="261"/>
    <x v="14"/>
    <s v="510605"/>
    <x v="5"/>
    <s v="348436"/>
    <s v="'79427696000197"/>
    <s v="CRICIUMA"/>
    <x v="3"/>
    <x v="1"/>
    <s v="Uso autorizado"/>
    <s v="'42250206013812000581550020000098271824953297"/>
    <s v="Normal"/>
    <n v="1975.8"/>
    <n v="1975.8"/>
    <n v="0"/>
    <n v="0"/>
    <n v="0"/>
    <n v="79.03"/>
    <n v="0"/>
    <n v="0"/>
    <n v="0"/>
    <n v="1975.8"/>
    <n v="0"/>
    <n v="1896.77"/>
    <n v="31.3"/>
    <n v="144.16"/>
    <x v="0"/>
    <x v="0"/>
    <m/>
    <m/>
    <n v="0"/>
    <m/>
    <m/>
    <s v="'"/>
    <n v="1975.8"/>
  </r>
  <r>
    <x v="0"/>
    <s v="0009828"/>
    <s v="2"/>
    <s v="NFS"/>
    <s v="31976"/>
    <x v="105"/>
    <x v="14"/>
    <s v="510601"/>
    <x v="5"/>
    <s v="348434"/>
    <s v="'17896169000174"/>
    <s v="BLUMENAU"/>
    <x v="3"/>
    <x v="1"/>
    <s v="Uso autorizado"/>
    <s v="'42250206013812000581550020000098281805259906"/>
    <s v="Normal"/>
    <n v="8174.81"/>
    <n v="7917.5"/>
    <n v="0"/>
    <n v="0"/>
    <n v="0"/>
    <n v="316.7"/>
    <n v="0"/>
    <n v="0"/>
    <n v="257.31"/>
    <n v="0"/>
    <n v="0"/>
    <n v="7600.8"/>
    <n v="125.41"/>
    <n v="577.66"/>
    <x v="0"/>
    <x v="0"/>
    <m/>
    <m/>
    <n v="0"/>
    <m/>
    <m/>
    <s v="'"/>
    <n v="7917.5"/>
  </r>
  <r>
    <x v="0"/>
    <s v="0009829"/>
    <s v="2"/>
    <s v="NFS"/>
    <s v="30774"/>
    <x v="262"/>
    <x v="14"/>
    <s v="610611"/>
    <x v="0"/>
    <s v="348443"/>
    <s v="'03625649000196"/>
    <s v="CIANORTE"/>
    <x v="5"/>
    <x v="1"/>
    <s v="Uso autorizado"/>
    <s v="'42250206013812000581550020000098291811233279"/>
    <s v="Normal"/>
    <n v="3633.09"/>
    <n v="3633.09"/>
    <n v="0"/>
    <n v="0"/>
    <n v="0"/>
    <n v="145.32"/>
    <n v="0"/>
    <n v="0"/>
    <n v="0"/>
    <n v="3633.09"/>
    <n v="0"/>
    <n v="3487.77"/>
    <n v="57.55"/>
    <n v="265.07"/>
    <x v="0"/>
    <x v="0"/>
    <m/>
    <m/>
    <n v="0"/>
    <m/>
    <m/>
    <s v="'"/>
    <n v="3633.09"/>
  </r>
  <r>
    <x v="0"/>
    <s v="0009830"/>
    <s v="2"/>
    <s v="NFS"/>
    <s v="28128"/>
    <x v="129"/>
    <x v="14"/>
    <s v="510603"/>
    <x v="5"/>
    <s v="348425"/>
    <s v="'10617324000127"/>
    <s v="SOMBRIO"/>
    <x v="3"/>
    <x v="1"/>
    <s v="Uso autorizado"/>
    <s v="'42250206013812000581550020000098301066698032"/>
    <s v="Normal"/>
    <n v="1278.93"/>
    <n v="1278.93"/>
    <n v="0"/>
    <n v="0"/>
    <n v="0"/>
    <n v="153.47"/>
    <n v="0"/>
    <n v="0"/>
    <n v="0"/>
    <n v="1278.93"/>
    <n v="0"/>
    <n v="1125.46"/>
    <n v="18.57"/>
    <n v="85.53"/>
    <x v="0"/>
    <x v="0"/>
    <m/>
    <m/>
    <n v="0"/>
    <m/>
    <m/>
    <s v="'"/>
    <n v="1278.93"/>
  </r>
  <r>
    <x v="0"/>
    <s v="0009831"/>
    <s v="2"/>
    <s v="NFS"/>
    <s v="39848"/>
    <x v="263"/>
    <x v="14"/>
    <s v="610610"/>
    <x v="0"/>
    <s v="348465"/>
    <s v="'28023142000193"/>
    <s v="VILA VELHA"/>
    <x v="6"/>
    <x v="1"/>
    <s v="Uso autorizado"/>
    <s v="'42250206013812000581550020000098311048532508"/>
    <s v="Normal"/>
    <n v="4304.92"/>
    <n v="4304.92"/>
    <n v="0"/>
    <n v="0"/>
    <n v="0"/>
    <n v="172.2"/>
    <n v="0"/>
    <n v="0"/>
    <n v="0"/>
    <n v="4304.92"/>
    <n v="0"/>
    <n v="4132.72"/>
    <n v="68.19"/>
    <n v="314.08999999999997"/>
    <x v="0"/>
    <x v="0"/>
    <m/>
    <m/>
    <n v="0"/>
    <m/>
    <m/>
    <s v="'"/>
    <n v="4304.92"/>
  </r>
  <r>
    <x v="0"/>
    <s v="0009832"/>
    <s v="2"/>
    <s v="NFS"/>
    <s v="37608"/>
    <x v="18"/>
    <x v="14"/>
    <s v="610611"/>
    <x v="0"/>
    <s v="348422"/>
    <s v="'46469638000177"/>
    <s v="SAO JOSE DO RIO PRETO"/>
    <x v="0"/>
    <x v="1"/>
    <s v="Uso autorizado"/>
    <s v="'42250206013812000581550020000098321719142535"/>
    <s v="Normal"/>
    <n v="3857"/>
    <n v="3857"/>
    <n v="0"/>
    <n v="0"/>
    <n v="0"/>
    <n v="154.28"/>
    <n v="0"/>
    <n v="0"/>
    <n v="0"/>
    <n v="3857"/>
    <n v="0"/>
    <n v="3702.72"/>
    <n v="61.09"/>
    <n v="281.39999999999998"/>
    <x v="0"/>
    <x v="0"/>
    <m/>
    <m/>
    <n v="0"/>
    <m/>
    <m/>
    <s v="'"/>
    <n v="3857"/>
  </r>
  <r>
    <x v="0"/>
    <s v="0009833"/>
    <s v="2"/>
    <s v="NFS"/>
    <s v="38284"/>
    <x v="11"/>
    <x v="15"/>
    <s v="59207i"/>
    <x v="6"/>
    <m/>
    <s v="'08248539000842"/>
    <s v="ITAJAI"/>
    <x v="3"/>
    <x v="1"/>
    <s v="Uso autorizado"/>
    <s v="'42250206013812000581550020000098331445600008"/>
    <s v="Normal"/>
    <n v="254371.99"/>
    <n v="254371.99"/>
    <n v="0"/>
    <n v="0"/>
    <n v="0"/>
    <n v="0"/>
    <n v="254371.99"/>
    <n v="0"/>
    <n v="0"/>
    <n v="254371.99"/>
    <n v="0"/>
    <n v="254371.99"/>
    <n v="4197.1400000000003"/>
    <n v="19332.3"/>
    <x v="0"/>
    <x v="1"/>
    <m/>
    <m/>
    <n v="0"/>
    <m/>
    <m/>
    <s v="'"/>
    <n v="0"/>
  </r>
  <r>
    <x v="0"/>
    <s v="0009834"/>
    <s v="2"/>
    <s v="NFS"/>
    <s v="38284"/>
    <x v="11"/>
    <x v="15"/>
    <s v="59207i"/>
    <x v="6"/>
    <m/>
    <s v="'08248539000842"/>
    <s v="ITAJAI"/>
    <x v="3"/>
    <x v="1"/>
    <s v="Uso autorizado"/>
    <s v="'42250206013812000581550020000098341163862886"/>
    <s v="Normal"/>
    <n v="204.67"/>
    <n v="204.67"/>
    <n v="0"/>
    <n v="0"/>
    <n v="0"/>
    <n v="0"/>
    <n v="204.67"/>
    <n v="0"/>
    <n v="0"/>
    <n v="204.67"/>
    <n v="0"/>
    <n v="204.67"/>
    <n v="3.38"/>
    <n v="15.55"/>
    <x v="0"/>
    <x v="1"/>
    <m/>
    <m/>
    <n v="0"/>
    <m/>
    <m/>
    <s v="'"/>
    <n v="0"/>
  </r>
  <r>
    <x v="0"/>
    <s v="0009835"/>
    <s v="2"/>
    <s v="NFT"/>
    <s v="33240"/>
    <x v="13"/>
    <x v="15"/>
    <s v="62207"/>
    <x v="8"/>
    <s v="348558"/>
    <s v="'06013812000239"/>
    <s v="BELO HORIZONTE"/>
    <x v="4"/>
    <x v="1"/>
    <s v="Uso autorizado"/>
    <s v="'42250206013812000581550020000098351147548290"/>
    <s v="Normal"/>
    <n v="60.22"/>
    <n v="60.22"/>
    <n v="0"/>
    <n v="0"/>
    <n v="0"/>
    <n v="2.41"/>
    <n v="0"/>
    <n v="0"/>
    <n v="0"/>
    <n v="60.22"/>
    <n v="0"/>
    <n v="57.81"/>
    <n v="0.95"/>
    <n v="4.3899999999999997"/>
    <x v="0"/>
    <x v="1"/>
    <m/>
    <m/>
    <n v="0"/>
    <m/>
    <m/>
    <s v="'"/>
    <n v="60.22"/>
  </r>
  <r>
    <x v="0"/>
    <s v="0009836"/>
    <s v="2"/>
    <s v="NFS"/>
    <s v="36777"/>
    <x v="103"/>
    <x v="15"/>
    <s v="610611"/>
    <x v="0"/>
    <s v="348397"/>
    <s v="'26170412000163"/>
    <s v="DIVINOPOLIS"/>
    <x v="4"/>
    <x v="1"/>
    <s v="Uso autorizado"/>
    <s v="'42250206013812000581550020000098361188490162"/>
    <s v="Normal"/>
    <n v="6244.03"/>
    <n v="6047.5"/>
    <n v="0"/>
    <n v="0"/>
    <n v="0"/>
    <n v="241.9"/>
    <n v="0"/>
    <n v="0"/>
    <n v="196.53"/>
    <n v="0"/>
    <n v="0"/>
    <n v="5805.6"/>
    <n v="95.79"/>
    <n v="441.23"/>
    <x v="0"/>
    <x v="0"/>
    <m/>
    <m/>
    <n v="0"/>
    <m/>
    <m/>
    <s v="'"/>
    <n v="6047.5"/>
  </r>
  <r>
    <x v="0"/>
    <s v="0009837"/>
    <s v="2"/>
    <s v="NFS"/>
    <s v="35336"/>
    <x v="264"/>
    <x v="15"/>
    <s v="610611"/>
    <x v="0"/>
    <s v="348317"/>
    <s v="'24815878000143"/>
    <s v="MARATA"/>
    <x v="7"/>
    <x v="1"/>
    <s v="Uso autorizado"/>
    <s v="'42250206013812000581550020000098371666394434"/>
    <s v="Normal"/>
    <n v="202.47"/>
    <n v="148.5"/>
    <n v="0"/>
    <n v="0"/>
    <n v="53.97"/>
    <n v="8.1"/>
    <n v="0"/>
    <n v="0"/>
    <n v="0"/>
    <n v="148.5"/>
    <n v="0"/>
    <n v="194.37"/>
    <n v="3.21"/>
    <n v="14.77"/>
    <x v="0"/>
    <x v="0"/>
    <m/>
    <m/>
    <n v="0"/>
    <m/>
    <m/>
    <s v="'"/>
    <n v="202.47"/>
  </r>
  <r>
    <x v="0"/>
    <s v="0009838"/>
    <s v="2"/>
    <s v="NFS"/>
    <s v="18685"/>
    <x v="253"/>
    <x v="15"/>
    <s v="610611"/>
    <x v="0"/>
    <s v="348323"/>
    <s v="'08953848000147"/>
    <s v="LINDOIA"/>
    <x v="0"/>
    <x v="1"/>
    <s v="Uso autorizado"/>
    <s v="'42250206013812000581550020000098381667207554"/>
    <s v="Normal"/>
    <n v="33.85"/>
    <n v="33.85"/>
    <n v="0"/>
    <n v="0"/>
    <n v="0"/>
    <n v="1.35"/>
    <n v="0"/>
    <n v="0"/>
    <n v="0"/>
    <n v="33.85"/>
    <n v="0"/>
    <n v="32.5"/>
    <n v="0.54"/>
    <n v="2.4700000000000002"/>
    <x v="0"/>
    <x v="0"/>
    <m/>
    <m/>
    <n v="0"/>
    <m/>
    <m/>
    <s v="'"/>
    <n v="33.85"/>
  </r>
  <r>
    <x v="0"/>
    <s v="0009839"/>
    <s v="2"/>
    <s v="NFE"/>
    <s v="25663"/>
    <x v="265"/>
    <x v="15"/>
    <s v="31206"/>
    <x v="9"/>
    <s v=" "/>
    <s v="'"/>
    <s v="MARBLE"/>
    <x v="10"/>
    <x v="1"/>
    <s v="Uso autorizado"/>
    <s v="'42250206013812000581550020000098391439358725"/>
    <s v="Normal"/>
    <n v="-1036140.53"/>
    <n v="-720125.24"/>
    <n v="-747.09"/>
    <n v="-288294.59999999998"/>
    <n v="-26973.599999999999"/>
    <n v="0"/>
    <n v="-1036140.53"/>
    <n v="0"/>
    <n v="0"/>
    <n v="-942285.87"/>
    <n v="0"/>
    <n v="-747845.93"/>
    <n v="-15704.74"/>
    <n v="-72167.12"/>
    <x v="0"/>
    <x v="1"/>
    <m/>
    <m/>
    <n v="0"/>
    <m/>
    <m/>
    <s v="'"/>
    <n v="0"/>
  </r>
  <r>
    <x v="0"/>
    <s v="0009840"/>
    <s v="2"/>
    <s v="NFS"/>
    <s v="33049"/>
    <x v="7"/>
    <x v="15"/>
    <s v="610611"/>
    <x v="0"/>
    <s v="348269"/>
    <s v="'13771702000110"/>
    <s v="SAO PAULO"/>
    <x v="0"/>
    <x v="1"/>
    <s v="Uso autorizado"/>
    <s v="'42250206013812000581550020000098401018688274"/>
    <s v="Normal"/>
    <n v="7349.89"/>
    <n v="7349.89"/>
    <n v="0"/>
    <n v="0"/>
    <n v="0"/>
    <n v="294"/>
    <n v="0"/>
    <n v="0"/>
    <n v="0"/>
    <n v="7349.89"/>
    <n v="0"/>
    <n v="7055.89"/>
    <n v="116.43"/>
    <n v="536.25"/>
    <x v="0"/>
    <x v="0"/>
    <m/>
    <m/>
    <n v="0"/>
    <m/>
    <m/>
    <s v="'"/>
    <n v="7349.89"/>
  </r>
  <r>
    <x v="0"/>
    <s v="0009841"/>
    <s v="2"/>
    <s v="NFS"/>
    <s v="40294"/>
    <x v="266"/>
    <x v="15"/>
    <s v="510603"/>
    <x v="5"/>
    <s v="348476"/>
    <s v="'34326746000101"/>
    <s v="ARARANGUA"/>
    <x v="3"/>
    <x v="1"/>
    <s v="Uso autorizado"/>
    <s v="'42250206013812000581550020000098411235448945"/>
    <s v="Normal"/>
    <n v="3856.38"/>
    <n v="3735"/>
    <n v="0"/>
    <n v="0"/>
    <n v="0"/>
    <n v="448.2"/>
    <n v="0"/>
    <n v="0"/>
    <n v="121.38"/>
    <n v="0"/>
    <n v="0"/>
    <n v="3286.8"/>
    <n v="54.23"/>
    <n v="249.8"/>
    <x v="0"/>
    <x v="0"/>
    <m/>
    <m/>
    <n v="0"/>
    <m/>
    <m/>
    <s v="'"/>
    <n v="3735"/>
  </r>
  <r>
    <x v="0"/>
    <s v="0009842"/>
    <s v="2"/>
    <s v="NFS"/>
    <s v="32947"/>
    <x v="267"/>
    <x v="15"/>
    <s v="510601"/>
    <x v="5"/>
    <s v="348461"/>
    <s v="'09545429000139"/>
    <s v="GASPAR"/>
    <x v="3"/>
    <x v="1"/>
    <s v="Uso autorizado"/>
    <s v="'42250206013812000581550020000098421565612827"/>
    <s v="Normal"/>
    <n v="1582.2"/>
    <n v="1582.2"/>
    <n v="0"/>
    <n v="0"/>
    <n v="0"/>
    <n v="63.29"/>
    <n v="0"/>
    <n v="0"/>
    <n v="0"/>
    <n v="1582.2"/>
    <n v="0"/>
    <n v="1518.91"/>
    <n v="25.07"/>
    <n v="115.44"/>
    <x v="0"/>
    <x v="0"/>
    <m/>
    <m/>
    <n v="0"/>
    <m/>
    <m/>
    <s v="'"/>
    <n v="1582.2"/>
  </r>
  <r>
    <x v="0"/>
    <s v="0009843"/>
    <s v="2"/>
    <s v="NFS"/>
    <s v="10695"/>
    <x v="268"/>
    <x v="15"/>
    <s v="510606"/>
    <x v="5"/>
    <s v="348466"/>
    <s v="'85183788000171"/>
    <s v="INDAIAL"/>
    <x v="3"/>
    <x v="1"/>
    <s v="Uso autorizado"/>
    <s v="'42250206013812000581550020000098431464503736"/>
    <s v="Normal"/>
    <n v="7530.84"/>
    <n v="7530.84"/>
    <n v="0"/>
    <n v="0"/>
    <n v="0"/>
    <n v="301.23"/>
    <n v="0"/>
    <n v="0"/>
    <n v="0"/>
    <n v="7530.84"/>
    <n v="0"/>
    <n v="7229.61"/>
    <n v="119.29"/>
    <n v="549.45000000000005"/>
    <x v="0"/>
    <x v="0"/>
    <m/>
    <m/>
    <n v="0"/>
    <m/>
    <m/>
    <s v="'"/>
    <n v="7530.84"/>
  </r>
  <r>
    <x v="0"/>
    <s v="0009844"/>
    <s v="2"/>
    <s v="NFS"/>
    <s v="38729"/>
    <x v="269"/>
    <x v="15"/>
    <s v="610610"/>
    <x v="0"/>
    <s v="348125"/>
    <s v="'44552432000180"/>
    <s v="GOIANIA"/>
    <x v="11"/>
    <x v="1"/>
    <s v="Uso autorizado"/>
    <s v="'42250206013812000581550020000098441215942296"/>
    <s v="Normal"/>
    <n v="46.94"/>
    <n v="46.94"/>
    <n v="0"/>
    <n v="0"/>
    <n v="0"/>
    <n v="1.88"/>
    <n v="0"/>
    <n v="0"/>
    <n v="0"/>
    <n v="46.94"/>
    <n v="0"/>
    <n v="45.06"/>
    <n v="0.74"/>
    <n v="3.42"/>
    <x v="0"/>
    <x v="0"/>
    <m/>
    <m/>
    <n v="0"/>
    <m/>
    <m/>
    <s v="'"/>
    <n v="46.94"/>
  </r>
  <r>
    <x v="0"/>
    <s v="0009845"/>
    <s v="2"/>
    <s v="NFS"/>
    <s v="36273"/>
    <x v="270"/>
    <x v="15"/>
    <s v="610611"/>
    <x v="0"/>
    <s v="348474"/>
    <s v="'31685514000151"/>
    <s v="SAO GONCALO"/>
    <x v="2"/>
    <x v="1"/>
    <s v="Uso autorizado"/>
    <s v="'42250206013812000581550020000098451890336738"/>
    <s v="Normal"/>
    <n v="3130.29"/>
    <n v="3130.29"/>
    <n v="0"/>
    <n v="0"/>
    <n v="0"/>
    <n v="125.21"/>
    <n v="0"/>
    <n v="0"/>
    <n v="0"/>
    <n v="3130.29"/>
    <n v="0"/>
    <n v="3005.08"/>
    <n v="49.58"/>
    <n v="228.39"/>
    <x v="0"/>
    <x v="0"/>
    <m/>
    <m/>
    <n v="0"/>
    <m/>
    <m/>
    <s v="'"/>
    <n v="3130.29"/>
  </r>
  <r>
    <x v="0"/>
    <s v="0009846"/>
    <s v="2"/>
    <s v="NFS"/>
    <s v="28195"/>
    <x v="271"/>
    <x v="15"/>
    <s v="510601"/>
    <x v="5"/>
    <s v="348527"/>
    <s v="'13744102000163"/>
    <s v="BLUMENAU"/>
    <x v="3"/>
    <x v="1"/>
    <s v="Uso autorizado"/>
    <s v="'42250206013812000581550020000098461637914874"/>
    <s v="Normal"/>
    <n v="6321.32"/>
    <n v="6321.32"/>
    <n v="0"/>
    <n v="0"/>
    <n v="0"/>
    <n v="252.85"/>
    <n v="0"/>
    <n v="0"/>
    <n v="0"/>
    <n v="6321.32"/>
    <n v="0"/>
    <n v="6068.47"/>
    <n v="100.13"/>
    <n v="461.2"/>
    <x v="0"/>
    <x v="0"/>
    <m/>
    <m/>
    <n v="0"/>
    <m/>
    <m/>
    <s v="'"/>
    <n v="6321.32"/>
  </r>
  <r>
    <x v="0"/>
    <s v="0009847"/>
    <s v="2"/>
    <s v="NFS"/>
    <s v="11919"/>
    <x v="96"/>
    <x v="15"/>
    <s v="610611"/>
    <x v="0"/>
    <s v="347561"/>
    <s v="'02537089000155"/>
    <s v="SAO PAULO"/>
    <x v="0"/>
    <x v="1"/>
    <s v="Uso autorizado"/>
    <s v="'42250206013812000581550020000098471631904165"/>
    <s v="Normal"/>
    <n v="4620.8999999999996"/>
    <n v="4620.8999999999996"/>
    <n v="0"/>
    <n v="0"/>
    <n v="0"/>
    <n v="184.84"/>
    <n v="0"/>
    <n v="0"/>
    <n v="0"/>
    <n v="4620.8999999999996"/>
    <n v="0"/>
    <n v="4436.0600000000004"/>
    <n v="73.180000000000007"/>
    <n v="337.14"/>
    <x v="0"/>
    <x v="0"/>
    <m/>
    <m/>
    <n v="0"/>
    <m/>
    <m/>
    <s v="'"/>
    <n v="4620.8999999999996"/>
  </r>
  <r>
    <x v="0"/>
    <s v="0009848"/>
    <s v="2"/>
    <s v="NFS"/>
    <s v="35226"/>
    <x v="272"/>
    <x v="15"/>
    <s v="610611"/>
    <x v="0"/>
    <s v="348549"/>
    <s v="'23457573000144"/>
    <s v="SAO PAULO"/>
    <x v="0"/>
    <x v="1"/>
    <s v="Uso autorizado"/>
    <s v="'42250206013812000581550020000098481151315147"/>
    <s v="Normal"/>
    <n v="14451.4"/>
    <n v="14451.4"/>
    <n v="0"/>
    <n v="0"/>
    <n v="0"/>
    <n v="578.05999999999995"/>
    <n v="0"/>
    <n v="0"/>
    <n v="0"/>
    <n v="14451.4"/>
    <n v="0"/>
    <n v="13873.34"/>
    <n v="228.91"/>
    <n v="1054.3800000000001"/>
    <x v="0"/>
    <x v="0"/>
    <m/>
    <m/>
    <n v="0"/>
    <m/>
    <m/>
    <s v="'"/>
    <n v="14451.4"/>
  </r>
  <r>
    <x v="0"/>
    <s v="0009849"/>
    <s v="2"/>
    <s v="NFS"/>
    <s v="26921"/>
    <x v="273"/>
    <x v="15"/>
    <s v="612305"/>
    <x v="1"/>
    <s v="348448"/>
    <s v="'04750901000151"/>
    <s v="BELO HORIZONTE"/>
    <x v="4"/>
    <x v="1"/>
    <s v="Uso autorizado"/>
    <s v="'42250206013812000581550020000098491461284662"/>
    <s v="Normal"/>
    <n v="6709.5"/>
    <n v="6709.5"/>
    <n v="0"/>
    <n v="0"/>
    <n v="0"/>
    <n v="268.38"/>
    <n v="0"/>
    <n v="0"/>
    <n v="0"/>
    <n v="6709.5"/>
    <n v="0"/>
    <n v="6441.12"/>
    <n v="106.28"/>
    <n v="489.53"/>
    <x v="0"/>
    <x v="0"/>
    <n v="9850"/>
    <n v="2"/>
    <n v="26921"/>
    <s v="MOD AMONT LTDA"/>
    <d v="2025-02-21T00:00:00"/>
    <s v="'42250206013812000581550020000098501365734378"/>
    <n v="6709.5"/>
  </r>
  <r>
    <x v="0"/>
    <s v="0009850"/>
    <s v="2"/>
    <s v="NFS"/>
    <s v="13523"/>
    <x v="274"/>
    <x v="15"/>
    <s v="612302"/>
    <x v="2"/>
    <m/>
    <s v="'61330981000120"/>
    <s v="CAIEIRAS"/>
    <x v="0"/>
    <x v="1"/>
    <s v="Uso autorizado"/>
    <s v="'42250206013812000581550020000098501365734378"/>
    <s v="Normal"/>
    <n v="6709.5"/>
    <n v="6709.5"/>
    <n v="0"/>
    <n v="0"/>
    <n v="0"/>
    <n v="0"/>
    <n v="0"/>
    <n v="6709.5"/>
    <n v="0"/>
    <n v="6709.5"/>
    <n v="0"/>
    <n v="0"/>
    <n v="0"/>
    <n v="0"/>
    <x v="0"/>
    <x v="1"/>
    <n v="9849"/>
    <n v="2"/>
    <n v="13523"/>
    <s v="SELO VERDE IND TEXTIL LTDA"/>
    <d v="2025-02-21T00:00:00"/>
    <s v="'42250206013812000581550020000098491461284662"/>
    <n v="0"/>
  </r>
  <r>
    <x v="0"/>
    <s v="0009851"/>
    <s v="2"/>
    <s v="NFS"/>
    <s v="40546"/>
    <x v="275"/>
    <x v="15"/>
    <s v="61219"/>
    <x v="1"/>
    <s v="348540"/>
    <s v="'93506640000159"/>
    <s v="CACHOEIRINHA"/>
    <x v="7"/>
    <x v="1"/>
    <s v="Uso autorizado"/>
    <s v="'42250206013812000581550020000098511721215329"/>
    <s v="Normal"/>
    <n v="3369.24"/>
    <n v="3369.24"/>
    <n v="0"/>
    <n v="0"/>
    <n v="0"/>
    <n v="134.77000000000001"/>
    <n v="0"/>
    <n v="0"/>
    <n v="0"/>
    <n v="3369.24"/>
    <n v="0"/>
    <n v="3234.47"/>
    <n v="53.37"/>
    <n v="245.8"/>
    <x v="0"/>
    <x v="0"/>
    <n v="9852"/>
    <n v="2"/>
    <n v="40546"/>
    <s v="M J A GOMES LTDA"/>
    <d v="2025-02-21T00:00:00"/>
    <s v="'42250206013812000581550020000098521479282420"/>
    <n v="3369.24"/>
  </r>
  <r>
    <x v="0"/>
    <s v="0009852"/>
    <s v="2"/>
    <s v="NFS"/>
    <s v="33412"/>
    <x v="276"/>
    <x v="15"/>
    <s v="51212"/>
    <x v="11"/>
    <m/>
    <s v="'04805861000106"/>
    <s v="BRUSQUE"/>
    <x v="3"/>
    <x v="1"/>
    <s v="Uso autorizado"/>
    <s v="'42250206013812000581550020000098521479282420"/>
    <s v="Normal"/>
    <n v="3369.24"/>
    <n v="3369.24"/>
    <n v="0"/>
    <n v="0"/>
    <n v="0"/>
    <n v="0"/>
    <n v="3369.24"/>
    <n v="0"/>
    <n v="0"/>
    <n v="3369.24"/>
    <n v="0"/>
    <n v="0"/>
    <n v="0"/>
    <n v="0"/>
    <x v="0"/>
    <x v="1"/>
    <n v="9851"/>
    <n v="2"/>
    <n v="33412"/>
    <s v="CLEGITAM IND E COM DE CONF LTDA"/>
    <d v="2025-02-21T00:00:00"/>
    <s v="'42250206013812000581550020000098511721215329"/>
    <n v="0"/>
  </r>
  <r>
    <x v="0"/>
    <s v="0009853"/>
    <s v="2"/>
    <s v="NFS"/>
    <s v="38284"/>
    <x v="11"/>
    <x v="15"/>
    <s v="59207i"/>
    <x v="6"/>
    <m/>
    <s v="'08248539000842"/>
    <s v="ITAJAI"/>
    <x v="3"/>
    <x v="1"/>
    <s v="Uso autorizado"/>
    <s v="'42250206013812000581550020000098531397263275"/>
    <s v="Normal"/>
    <n v="720125.24"/>
    <n v="720125.24"/>
    <n v="0"/>
    <n v="0"/>
    <n v="0"/>
    <n v="0"/>
    <n v="720125.24"/>
    <n v="0"/>
    <n v="0"/>
    <n v="720125.24"/>
    <n v="0"/>
    <n v="720125.24"/>
    <n v="11882.08"/>
    <n v="54729.53"/>
    <x v="0"/>
    <x v="1"/>
    <m/>
    <m/>
    <n v="0"/>
    <m/>
    <m/>
    <s v="'"/>
    <n v="0"/>
  </r>
  <r>
    <x v="0"/>
    <s v="0009854"/>
    <s v="2"/>
    <s v="NFS"/>
    <s v="37427"/>
    <x v="240"/>
    <x v="16"/>
    <s v="610611"/>
    <x v="0"/>
    <s v="348518"/>
    <s v="'43383908000134"/>
    <s v="PETROPOLIS"/>
    <x v="2"/>
    <x v="1"/>
    <s v="Uso autorizado"/>
    <s v="'42250206013812000581550020000098541164721219"/>
    <s v="Normal"/>
    <n v="11935.93"/>
    <n v="11935.93"/>
    <n v="0"/>
    <n v="0"/>
    <n v="0"/>
    <n v="477.44"/>
    <n v="0"/>
    <n v="0"/>
    <n v="0"/>
    <n v="11935.93"/>
    <n v="0"/>
    <n v="11458.49"/>
    <n v="189.06"/>
    <n v="870.85"/>
    <x v="0"/>
    <x v="0"/>
    <m/>
    <m/>
    <n v="0"/>
    <m/>
    <m/>
    <s v="'"/>
    <n v="11935.93"/>
  </r>
  <r>
    <x v="0"/>
    <s v="0009855"/>
    <s v="2"/>
    <s v="NFS"/>
    <s v="39987"/>
    <x v="277"/>
    <x v="16"/>
    <s v="610610"/>
    <x v="0"/>
    <s v="348248"/>
    <s v="'10851900000104"/>
    <s v="ITABAIANINHA"/>
    <x v="15"/>
    <x v="1"/>
    <s v="Uso autorizado"/>
    <s v="'42250206013812000581550020000098551956470131"/>
    <s v="Normal"/>
    <n v="21583.200000000001"/>
    <n v="21583.200000000001"/>
    <n v="0"/>
    <n v="0"/>
    <n v="0"/>
    <n v="863.33"/>
    <n v="0"/>
    <n v="0"/>
    <n v="0"/>
    <n v="21583.200000000001"/>
    <n v="0"/>
    <n v="20719.87"/>
    <n v="341.88"/>
    <n v="1574.71"/>
    <x v="0"/>
    <x v="0"/>
    <m/>
    <m/>
    <n v="0"/>
    <m/>
    <m/>
    <s v="'"/>
    <n v="21583.200000000001"/>
  </r>
  <r>
    <x v="0"/>
    <s v="0009856"/>
    <s v="2"/>
    <s v="NFS"/>
    <s v="1759"/>
    <x v="278"/>
    <x v="16"/>
    <s v="610611"/>
    <x v="0"/>
    <s v="348580"/>
    <s v="'91980102000176"/>
    <s v="NOVO HAMBURGO"/>
    <x v="7"/>
    <x v="1"/>
    <s v="Uso autorizado"/>
    <s v="'42250206013812000581550020000098561611034580"/>
    <s v="Normal"/>
    <n v="2842.4"/>
    <n v="2842.4"/>
    <n v="0"/>
    <n v="0"/>
    <n v="0"/>
    <n v="113.7"/>
    <n v="0"/>
    <n v="0"/>
    <n v="0"/>
    <n v="2842.4"/>
    <n v="0"/>
    <n v="2728.7"/>
    <n v="45.02"/>
    <n v="207.38"/>
    <x v="0"/>
    <x v="0"/>
    <m/>
    <m/>
    <n v="0"/>
    <m/>
    <m/>
    <s v="'"/>
    <n v="2842.4"/>
  </r>
  <r>
    <x v="0"/>
    <s v="0009857"/>
    <s v="2"/>
    <s v="NFS"/>
    <s v="13174"/>
    <x v="172"/>
    <x v="16"/>
    <s v="610611"/>
    <x v="0"/>
    <s v="348553"/>
    <s v="'01854906000136"/>
    <s v="CIANORTE"/>
    <x v="5"/>
    <x v="1"/>
    <s v="Uso autorizado"/>
    <s v="'42250206013812000581550020000098571174784797"/>
    <s v="Normal"/>
    <n v="842.9"/>
    <n v="732.9"/>
    <n v="0"/>
    <n v="0"/>
    <n v="110"/>
    <n v="33.72"/>
    <n v="0"/>
    <n v="0"/>
    <n v="0"/>
    <n v="732.9"/>
    <n v="0"/>
    <n v="809.18"/>
    <n v="13.35"/>
    <n v="61.5"/>
    <x v="0"/>
    <x v="0"/>
    <m/>
    <m/>
    <n v="0"/>
    <m/>
    <m/>
    <s v="'"/>
    <n v="842.9"/>
  </r>
  <r>
    <x v="0"/>
    <s v="0009858"/>
    <s v="2"/>
    <s v="NFS"/>
    <s v="25382"/>
    <x v="109"/>
    <x v="16"/>
    <s v="610611"/>
    <x v="0"/>
    <s v="348232"/>
    <s v="'11344966000162"/>
    <s v="SAO PAULO"/>
    <x v="0"/>
    <x v="1"/>
    <s v="Uso autorizado"/>
    <s v="'42250206013812000581550020000098581019270847"/>
    <s v="Normal"/>
    <n v="3421.6"/>
    <n v="3421.6"/>
    <n v="0"/>
    <n v="0"/>
    <n v="0"/>
    <n v="136.86000000000001"/>
    <n v="0"/>
    <n v="0"/>
    <n v="0"/>
    <n v="3421.6"/>
    <n v="0"/>
    <n v="3284.74"/>
    <n v="54.2"/>
    <n v="249.64"/>
    <x v="0"/>
    <x v="0"/>
    <m/>
    <m/>
    <n v="0"/>
    <m/>
    <m/>
    <s v="'"/>
    <n v="3421.6"/>
  </r>
  <r>
    <x v="0"/>
    <s v="0009859"/>
    <s v="2"/>
    <s v="NFS"/>
    <s v="9125"/>
    <x v="0"/>
    <x v="16"/>
    <s v="610611"/>
    <x v="0"/>
    <s v="348566"/>
    <s v="'02454596000125"/>
    <s v="VARZEA PAULISTA"/>
    <x v="0"/>
    <x v="1"/>
    <s v="Uso autorizado"/>
    <s v="'42250206013812000581550020000098591797442626"/>
    <s v="Normal"/>
    <n v="1601.38"/>
    <n v="1601.38"/>
    <n v="0"/>
    <n v="0"/>
    <n v="0"/>
    <n v="64.06"/>
    <n v="0"/>
    <n v="0"/>
    <n v="0"/>
    <n v="1601.38"/>
    <n v="0"/>
    <n v="1537.32"/>
    <n v="25.37"/>
    <n v="116.84"/>
    <x v="0"/>
    <x v="0"/>
    <m/>
    <m/>
    <n v="0"/>
    <m/>
    <m/>
    <s v="'"/>
    <n v="1601.38"/>
  </r>
  <r>
    <x v="0"/>
    <s v="0009860"/>
    <s v="2"/>
    <s v="NFS"/>
    <s v="37943"/>
    <x v="279"/>
    <x v="16"/>
    <s v="610611"/>
    <x v="0"/>
    <s v="348591"/>
    <s v="'42268522000119"/>
    <s v="PASSOS"/>
    <x v="4"/>
    <x v="1"/>
    <s v="Uso autorizado"/>
    <s v="'42250206013812000581550020000098601335768734"/>
    <s v="Normal"/>
    <n v="18778.5"/>
    <n v="18778.5"/>
    <n v="0"/>
    <n v="0"/>
    <n v="0"/>
    <n v="751.14"/>
    <n v="0"/>
    <n v="0"/>
    <n v="0"/>
    <n v="18778.5"/>
    <n v="0"/>
    <n v="18027.36"/>
    <n v="297.45"/>
    <n v="1370.08"/>
    <x v="0"/>
    <x v="0"/>
    <m/>
    <m/>
    <n v="0"/>
    <m/>
    <m/>
    <s v="'"/>
    <n v="18778.5"/>
  </r>
  <r>
    <x v="0"/>
    <s v="0009861"/>
    <s v="2"/>
    <s v="NFS"/>
    <s v="40553"/>
    <x v="280"/>
    <x v="16"/>
    <s v="610610"/>
    <x v="0"/>
    <s v="348572"/>
    <s v="'36648366000119"/>
    <s v="NATAL"/>
    <x v="13"/>
    <x v="1"/>
    <s v="Uso autorizado"/>
    <s v="'42250206013812000581550020000098611944859230"/>
    <s v="Normal"/>
    <n v="6889.05"/>
    <n v="6889.05"/>
    <n v="0"/>
    <n v="0"/>
    <n v="0"/>
    <n v="275.56"/>
    <n v="0"/>
    <n v="0"/>
    <n v="0"/>
    <n v="6889.05"/>
    <n v="0"/>
    <n v="6613.49"/>
    <n v="109.13"/>
    <n v="502.64"/>
    <x v="0"/>
    <x v="0"/>
    <m/>
    <m/>
    <n v="0"/>
    <m/>
    <m/>
    <s v="'"/>
    <n v="6889.05"/>
  </r>
  <r>
    <x v="0"/>
    <s v="0009862"/>
    <s v="2"/>
    <s v="NFS"/>
    <s v="38182"/>
    <x v="196"/>
    <x v="16"/>
    <s v="610611"/>
    <x v="0"/>
    <s v="348418"/>
    <s v="'14505653000137"/>
    <s v="ATIBAIA"/>
    <x v="0"/>
    <x v="1"/>
    <s v="Uso autorizado"/>
    <s v="'42250206013812000581550020000098621832116632"/>
    <s v="Normal"/>
    <n v="4816.8999999999996"/>
    <n v="4816.8999999999996"/>
    <n v="0"/>
    <n v="0"/>
    <n v="0"/>
    <n v="192.68"/>
    <n v="0"/>
    <n v="0"/>
    <n v="0"/>
    <n v="4816.8999999999996"/>
    <n v="0"/>
    <n v="4624.22"/>
    <n v="76.3"/>
    <n v="351.44"/>
    <x v="0"/>
    <x v="0"/>
    <m/>
    <m/>
    <n v="0"/>
    <m/>
    <m/>
    <s v="'"/>
    <n v="4816.8999999999996"/>
  </r>
  <r>
    <x v="0"/>
    <s v="0009863"/>
    <s v="2"/>
    <s v="NFE"/>
    <s v="26715"/>
    <x v="59"/>
    <x v="16"/>
    <s v="31207"/>
    <x v="9"/>
    <s v=" "/>
    <s v="'"/>
    <s v="CHINA"/>
    <x v="10"/>
    <x v="1"/>
    <s v="Uso autorizado"/>
    <s v="'42250206013812000581550020000098631692059787"/>
    <s v="Normal"/>
    <n v="-16410.11"/>
    <n v="-16410.11"/>
    <n v="0"/>
    <n v="0"/>
    <n v="0"/>
    <n v="0"/>
    <n v="-6273.7"/>
    <n v="0"/>
    <n v="0"/>
    <n v="-16410.11"/>
    <n v="0"/>
    <n v="0"/>
    <n v="0"/>
    <n v="0"/>
    <x v="0"/>
    <x v="1"/>
    <m/>
    <m/>
    <n v="0"/>
    <m/>
    <m/>
    <s v="'"/>
    <n v="0"/>
  </r>
  <r>
    <x v="0"/>
    <s v="0009864"/>
    <s v="2"/>
    <s v="NFE"/>
    <s v="26715"/>
    <x v="59"/>
    <x v="16"/>
    <s v="31208"/>
    <x v="9"/>
    <s v=" "/>
    <s v="'"/>
    <s v="CHINA"/>
    <x v="10"/>
    <x v="1"/>
    <s v="Uso autorizado"/>
    <s v="'42250206013812000581550020000098641820471020"/>
    <s v="Normal"/>
    <n v="-19196.29"/>
    <n v="-19196.29"/>
    <n v="0"/>
    <n v="0"/>
    <n v="0"/>
    <n v="0"/>
    <n v="-19196.29"/>
    <n v="0"/>
    <n v="0"/>
    <n v="-19196.29"/>
    <n v="0"/>
    <n v="0"/>
    <n v="0"/>
    <n v="0"/>
    <x v="0"/>
    <x v="1"/>
    <m/>
    <m/>
    <n v="0"/>
    <m/>
    <m/>
    <s v="'"/>
    <n v="0"/>
  </r>
  <r>
    <x v="0"/>
    <s v="0009865"/>
    <s v="2"/>
    <s v="NFE"/>
    <s v="26715"/>
    <x v="59"/>
    <x v="16"/>
    <s v="31207"/>
    <x v="9"/>
    <s v=" "/>
    <s v="'"/>
    <s v="CHINA"/>
    <x v="10"/>
    <x v="1"/>
    <s v="Uso autorizado"/>
    <s v="'42250206013812000581550020000098651181156420"/>
    <s v="Normal"/>
    <n v="-11961.83"/>
    <n v="-11961.83"/>
    <n v="0"/>
    <n v="0"/>
    <n v="0"/>
    <n v="0"/>
    <n v="-7752.5"/>
    <n v="0"/>
    <n v="0"/>
    <n v="-11961.83"/>
    <n v="0"/>
    <n v="0"/>
    <n v="0"/>
    <n v="0"/>
    <x v="0"/>
    <x v="1"/>
    <m/>
    <m/>
    <n v="0"/>
    <m/>
    <m/>
    <s v="'"/>
    <n v="0"/>
  </r>
  <r>
    <x v="0"/>
    <s v="0009866"/>
    <s v="2"/>
    <s v="NFE"/>
    <s v="26715"/>
    <x v="59"/>
    <x v="16"/>
    <s v="31208"/>
    <x v="9"/>
    <s v=" "/>
    <s v="'"/>
    <s v="CHINA"/>
    <x v="10"/>
    <x v="1"/>
    <s v="Uso autorizado"/>
    <s v="'42250206013812000581550020000098661285042631"/>
    <s v="Normal"/>
    <n v="-5082.04"/>
    <n v="-5082.04"/>
    <n v="0"/>
    <n v="0"/>
    <n v="0"/>
    <n v="0"/>
    <n v="-5082.04"/>
    <n v="0"/>
    <n v="0"/>
    <n v="-5082.04"/>
    <n v="0"/>
    <n v="0"/>
    <n v="0"/>
    <n v="0"/>
    <x v="0"/>
    <x v="1"/>
    <m/>
    <m/>
    <n v="0"/>
    <m/>
    <m/>
    <s v="'"/>
    <n v="0"/>
  </r>
  <r>
    <x v="0"/>
    <s v="0009867"/>
    <s v="2"/>
    <s v="NFE"/>
    <s v="25663"/>
    <x v="265"/>
    <x v="16"/>
    <s v="31207"/>
    <x v="9"/>
    <s v=" "/>
    <s v="'"/>
    <s v="MARBLE"/>
    <x v="10"/>
    <x v="1"/>
    <s v="Uso autorizado"/>
    <s v="'42250206013812000581550020000098671202770771"/>
    <s v="Normal"/>
    <n v="-17566.080000000002"/>
    <n v="-17566.080000000002"/>
    <n v="0"/>
    <n v="0"/>
    <n v="0"/>
    <n v="0"/>
    <n v="-6546.98"/>
    <n v="0"/>
    <n v="0"/>
    <n v="-17566.080000000002"/>
    <n v="0"/>
    <n v="0"/>
    <n v="0"/>
    <n v="0"/>
    <x v="0"/>
    <x v="1"/>
    <m/>
    <m/>
    <n v="0"/>
    <m/>
    <m/>
    <s v="'"/>
    <n v="0"/>
  </r>
  <r>
    <x v="0"/>
    <s v="0009868"/>
    <s v="2"/>
    <s v="NFE"/>
    <s v="25663"/>
    <x v="265"/>
    <x v="16"/>
    <s v="31208"/>
    <x v="9"/>
    <s v=" "/>
    <s v="'"/>
    <s v="MARBLE"/>
    <x v="10"/>
    <x v="1"/>
    <s v="Uso autorizado"/>
    <s v="'42250206013812000581550020000098681687571684"/>
    <s v="Normal"/>
    <n v="-8343.92"/>
    <n v="-8343.92"/>
    <n v="0"/>
    <n v="0"/>
    <n v="0"/>
    <n v="0"/>
    <n v="-8343.92"/>
    <n v="0"/>
    <n v="0"/>
    <n v="-8343.92"/>
    <n v="0"/>
    <n v="0"/>
    <n v="0"/>
    <n v="0"/>
    <x v="0"/>
    <x v="1"/>
    <m/>
    <m/>
    <n v="0"/>
    <m/>
    <m/>
    <s v="'"/>
    <n v="0"/>
  </r>
  <r>
    <x v="0"/>
    <s v="0002732"/>
    <s v="2"/>
    <s v="NFD"/>
    <s v="40020"/>
    <x v="139"/>
    <x v="7"/>
    <s v="23201M"/>
    <x v="13"/>
    <m/>
    <s v="'31245809000107"/>
    <s v="SAO PAULO"/>
    <x v="0"/>
    <x v="2"/>
    <m/>
    <s v="'35241231245809000107550020000027321054601292"/>
    <m/>
    <n v="-3349.6"/>
    <n v="-3349.6"/>
    <n v="0"/>
    <n v="0"/>
    <n v="0"/>
    <n v="-133.97999999999999"/>
    <n v="0"/>
    <n v="0"/>
    <n v="0"/>
    <n v="0"/>
    <n v="0"/>
    <n v="-3215.62"/>
    <n v="-53.06"/>
    <n v="-244.39"/>
    <x v="1"/>
    <x v="2"/>
    <n v="7050"/>
    <n v="2"/>
    <n v="40020"/>
    <s v="KEEZA COMERCIO DE ARTIGOS DE VESTUARIO LTDA"/>
    <d v="2024-08-21T00:00:00"/>
    <s v="'42240806013812000581550020000070501703098880"/>
    <n v="-3349.6"/>
  </r>
  <r>
    <x v="0"/>
    <s v="0005798"/>
    <s v="1"/>
    <s v="NFD"/>
    <s v="40176"/>
    <x v="281"/>
    <x v="12"/>
    <s v="23201M"/>
    <x v="13"/>
    <m/>
    <s v="'26561321000159"/>
    <s v="DIVINOPOLIS"/>
    <x v="4"/>
    <x v="2"/>
    <m/>
    <s v="'31250126561321000159550010000057981402091224"/>
    <m/>
    <n v="-953.7"/>
    <n v="-953.7"/>
    <n v="0"/>
    <n v="0"/>
    <n v="0"/>
    <n v="-38.15"/>
    <n v="0"/>
    <n v="0"/>
    <n v="0"/>
    <n v="0"/>
    <n v="0"/>
    <n v="-915.55"/>
    <n v="-15.11"/>
    <n v="-69.58"/>
    <x v="1"/>
    <x v="2"/>
    <n v="7632"/>
    <n v="2"/>
    <n v="40176"/>
    <s v="CUSTOMIZE IND DO VESTUARIO LTDA"/>
    <d v="2024-09-27T00:00:00"/>
    <s v="'42240906013812000581550020000076321817711589"/>
    <n v="-953.7"/>
  </r>
  <r>
    <x v="0"/>
    <s v="0019256"/>
    <s v="1"/>
    <s v="NFD"/>
    <s v="19602"/>
    <x v="41"/>
    <x v="14"/>
    <s v="23201M"/>
    <x v="13"/>
    <m/>
    <s v="'00941341000161"/>
    <s v="SAO PAULO"/>
    <x v="0"/>
    <x v="2"/>
    <m/>
    <s v="'35250200941341000161550010000192561122809830"/>
    <m/>
    <n v="-482.79"/>
    <n v="-482.79"/>
    <n v="0"/>
    <n v="0"/>
    <n v="0"/>
    <n v="-19.309999999999999"/>
    <n v="0"/>
    <n v="0"/>
    <n v="0"/>
    <n v="0"/>
    <n v="0"/>
    <n v="-463.48"/>
    <n v="-7.65"/>
    <n v="-35.22"/>
    <x v="1"/>
    <x v="2"/>
    <n v="9305"/>
    <n v="2"/>
    <n v="19602"/>
    <s v="KOKOLA CONF E COM DE ROUPAS LTDA"/>
    <d v="2025-01-24T00:00:00"/>
    <s v="'42250106013812000581550020000093051722664000"/>
    <n v="-482.79"/>
  </r>
  <r>
    <x v="0"/>
    <s v="0036487"/>
    <s v="1"/>
    <s v="NFD"/>
    <s v="30229"/>
    <x v="282"/>
    <x v="15"/>
    <s v="23201M"/>
    <x v="13"/>
    <m/>
    <s v="'10641471000132"/>
    <s v="CIANORTE"/>
    <x v="5"/>
    <x v="2"/>
    <m/>
    <s v="'41250110641471000132550010000364871848356379"/>
    <m/>
    <n v="-468"/>
    <n v="-468"/>
    <n v="0"/>
    <n v="0"/>
    <n v="0"/>
    <n v="-18.72"/>
    <n v="0"/>
    <n v="0"/>
    <n v="0"/>
    <n v="0"/>
    <n v="0"/>
    <n v="-449.28"/>
    <n v="-7.41"/>
    <n v="-34.15"/>
    <x v="1"/>
    <x v="2"/>
    <n v="6266"/>
    <n v="2"/>
    <n v="30229"/>
    <s v="HAPUK IND E COM DE CONFECCOES LTDA"/>
    <d v="2024-07-02T00:00:00"/>
    <s v="'42240706013812000581550020000062661877722344"/>
    <n v="-468"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  <r>
    <x v="1"/>
    <m/>
    <m/>
    <m/>
    <m/>
    <x v="283"/>
    <x v="17"/>
    <m/>
    <x v="16"/>
    <m/>
    <m/>
    <m/>
    <x v="16"/>
    <x v="2"/>
    <m/>
    <m/>
    <m/>
    <m/>
    <m/>
    <m/>
    <m/>
    <m/>
    <m/>
    <m/>
    <m/>
    <m/>
    <m/>
    <m/>
    <m/>
    <m/>
    <m/>
    <x v="1"/>
    <x v="2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EE0972-3613-4A1E-A5D7-A28FB8637712}" name="Tabela dinâmica1" cacheId="11" applyNumberFormats="0" applyBorderFormats="0" applyFontFormats="0" applyPatternFormats="0" applyAlignmentFormats="0" applyWidthHeightFormats="1" dataCaption="Dados" updatedVersion="8" minRefreshableVersion="3" showMemberPropertyTips="0" useAutoFormatting="1" itemPrintTitles="1" createdVersion="8" indent="0" compact="0" compactData="0" gridDropZones="1">
  <location ref="A7:L136" firstHeaderRow="1" firstDataRow="2" firstDataCol="2" rowPageCount="5" colPageCount="1"/>
  <pivotFields count="40">
    <pivotField axis="axisPage" compact="0" outline="0" subtotalTop="0" showAll="0" includeNewItemsInFilter="1">
      <items count="4">
        <item x="1"/>
        <item m="1" x="2"/>
        <item x="0"/>
        <item t="default"/>
      </items>
    </pivotField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axis="axisRow" compact="0" outline="0" subtotalTop="0" showAll="0" includeNewItemsInFilter="1">
      <items count="36">
        <item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compact="0" outline="0" subtotalTop="0" showAll="0" includeNewItemsInFilter="1" defaultSubtotal="0"/>
    <pivotField axis="axisRow" compact="0" outline="0" subtotalTop="0" showAll="0" includeNewItemsInFilter="1">
      <items count="21">
        <item x="3"/>
        <item x="4"/>
        <item x="9"/>
        <item x="1"/>
        <item x="2"/>
        <item x="16"/>
        <item x="8"/>
        <item x="13"/>
        <item m="1" x="18"/>
        <item m="1" x="19"/>
        <item x="10"/>
        <item x="0"/>
        <item x="7"/>
        <item x="12"/>
        <item m="1" x="17"/>
        <item x="5"/>
        <item x="6"/>
        <item x="11"/>
        <item x="14"/>
        <item x="15"/>
        <item t="default"/>
      </items>
    </pivotField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24">
        <item x="8"/>
        <item x="6"/>
        <item x="4"/>
        <item x="1"/>
        <item x="7"/>
        <item x="0"/>
        <item x="11"/>
        <item x="10"/>
        <item x="5"/>
        <item x="3"/>
        <item x="13"/>
        <item x="2"/>
        <item x="12"/>
        <item m="1" x="19"/>
        <item m="1" x="20"/>
        <item x="9"/>
        <item m="1" x="17"/>
        <item x="16"/>
        <item m="1" x="18"/>
        <item x="14"/>
        <item m="1" x="21"/>
        <item x="15"/>
        <item m="1" x="22"/>
        <item t="default"/>
      </items>
    </pivotField>
    <pivotField axis="axisPage" compact="0" outline="0" subtotalTop="0" showAll="0" includeNewItemsInFilter="1" defaultSubtotal="0">
      <items count="3">
        <item x="1"/>
        <item x="0"/>
        <item x="2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compact="0" numFmtId="43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axis="axisPage" compact="0" outline="0" subtotalTop="0" showAll="0" includeNewItemsInFilter="1" defaultSubtotal="0">
      <items count="3">
        <item x="0"/>
        <item x="1"/>
        <item m="1" x="2"/>
      </items>
    </pivotField>
    <pivotField axis="axisPage" compact="0" outline="0" subtotalTop="0" showAll="0" includeNewItemsInFilter="1" defaultSubtotal="0">
      <items count="3">
        <item x="1"/>
        <item x="0"/>
        <item x="2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</pivotFields>
  <rowFields count="2">
    <field x="6"/>
    <field x="8"/>
  </rowFields>
  <rowItems count="128">
    <i>
      <x/>
      <x v="5"/>
    </i>
    <i t="default">
      <x/>
    </i>
    <i>
      <x v="18"/>
      <x/>
    </i>
    <i r="1">
      <x v="1"/>
    </i>
    <i r="1">
      <x v="3"/>
    </i>
    <i r="1">
      <x v="4"/>
    </i>
    <i r="1">
      <x v="6"/>
    </i>
    <i r="1">
      <x v="11"/>
    </i>
    <i r="1">
      <x v="12"/>
    </i>
    <i r="1">
      <x v="15"/>
    </i>
    <i r="1">
      <x v="16"/>
    </i>
    <i t="default">
      <x v="18"/>
    </i>
    <i>
      <x v="19"/>
      <x/>
    </i>
    <i r="1">
      <x v="1"/>
    </i>
    <i r="1">
      <x v="3"/>
    </i>
    <i r="1">
      <x v="4"/>
    </i>
    <i r="1">
      <x v="6"/>
    </i>
    <i r="1">
      <x v="11"/>
    </i>
    <i r="1">
      <x v="12"/>
    </i>
    <i r="1">
      <x v="15"/>
    </i>
    <i t="default">
      <x v="19"/>
    </i>
    <i>
      <x v="20"/>
      <x v="2"/>
    </i>
    <i r="1">
      <x v="6"/>
    </i>
    <i r="1">
      <x v="11"/>
    </i>
    <i r="1">
      <x v="12"/>
    </i>
    <i r="1">
      <x v="15"/>
    </i>
    <i t="default">
      <x v="20"/>
    </i>
    <i>
      <x v="21"/>
      <x/>
    </i>
    <i r="1">
      <x v="1"/>
    </i>
    <i r="1">
      <x v="2"/>
    </i>
    <i r="1">
      <x v="11"/>
    </i>
    <i r="1">
      <x v="12"/>
    </i>
    <i r="1">
      <x v="15"/>
    </i>
    <i t="default">
      <x v="21"/>
    </i>
    <i>
      <x v="22"/>
      <x v="10"/>
    </i>
    <i r="1">
      <x v="11"/>
    </i>
    <i r="1">
      <x v="12"/>
    </i>
    <i r="1">
      <x v="16"/>
    </i>
    <i r="1">
      <x v="17"/>
    </i>
    <i t="default">
      <x v="22"/>
    </i>
    <i>
      <x v="23"/>
      <x v="11"/>
    </i>
    <i t="default">
      <x v="23"/>
    </i>
    <i>
      <x v="24"/>
      <x v="2"/>
    </i>
    <i r="1">
      <x v="3"/>
    </i>
    <i r="1">
      <x v="4"/>
    </i>
    <i r="1">
      <x v="11"/>
    </i>
    <i r="1">
      <x v="12"/>
    </i>
    <i r="1">
      <x v="15"/>
    </i>
    <i r="1">
      <x v="16"/>
    </i>
    <i t="default">
      <x v="24"/>
    </i>
    <i>
      <x v="25"/>
      <x v="2"/>
    </i>
    <i r="1">
      <x v="7"/>
    </i>
    <i r="1">
      <x v="11"/>
    </i>
    <i r="1">
      <x v="15"/>
    </i>
    <i t="default">
      <x v="25"/>
    </i>
    <i>
      <x v="26"/>
      <x/>
    </i>
    <i r="1">
      <x v="1"/>
    </i>
    <i r="1">
      <x v="11"/>
    </i>
    <i r="1">
      <x v="12"/>
    </i>
    <i r="1">
      <x v="13"/>
    </i>
    <i r="1">
      <x v="15"/>
    </i>
    <i r="1">
      <x v="16"/>
    </i>
    <i t="default">
      <x v="26"/>
    </i>
    <i>
      <x v="27"/>
      <x v="2"/>
    </i>
    <i r="1">
      <x v="3"/>
    </i>
    <i r="1">
      <x v="4"/>
    </i>
    <i r="1">
      <x v="7"/>
    </i>
    <i r="1">
      <x v="11"/>
    </i>
    <i r="1">
      <x v="12"/>
    </i>
    <i r="1">
      <x v="15"/>
    </i>
    <i r="1">
      <x v="16"/>
    </i>
    <i t="default">
      <x v="27"/>
    </i>
    <i>
      <x v="28"/>
      <x/>
    </i>
    <i r="1">
      <x v="1"/>
    </i>
    <i r="1">
      <x v="3"/>
    </i>
    <i r="1">
      <x v="4"/>
    </i>
    <i r="1">
      <x v="10"/>
    </i>
    <i r="1">
      <x v="11"/>
    </i>
    <i r="1">
      <x v="12"/>
    </i>
    <i r="1">
      <x v="15"/>
    </i>
    <i r="1">
      <x v="17"/>
    </i>
    <i t="default">
      <x v="28"/>
    </i>
    <i>
      <x v="29"/>
      <x v="2"/>
    </i>
    <i r="1">
      <x v="6"/>
    </i>
    <i r="1">
      <x v="11"/>
    </i>
    <i r="1">
      <x v="15"/>
    </i>
    <i r="1">
      <x v="18"/>
    </i>
    <i r="1">
      <x v="19"/>
    </i>
    <i t="default">
      <x v="29"/>
    </i>
    <i>
      <x v="30"/>
      <x v="3"/>
    </i>
    <i r="1">
      <x v="4"/>
    </i>
    <i r="1">
      <x v="7"/>
    </i>
    <i r="1">
      <x v="10"/>
    </i>
    <i r="1">
      <x v="11"/>
    </i>
    <i r="1">
      <x v="12"/>
    </i>
    <i r="1">
      <x v="15"/>
    </i>
    <i r="1">
      <x v="16"/>
    </i>
    <i r="1">
      <x v="17"/>
    </i>
    <i t="default">
      <x v="30"/>
    </i>
    <i>
      <x v="31"/>
      <x/>
    </i>
    <i r="1">
      <x v="1"/>
    </i>
    <i r="1">
      <x v="2"/>
    </i>
    <i r="1">
      <x v="11"/>
    </i>
    <i r="1">
      <x v="15"/>
    </i>
    <i r="1">
      <x v="16"/>
    </i>
    <i t="default">
      <x v="31"/>
    </i>
    <i>
      <x v="32"/>
      <x/>
    </i>
    <i r="1">
      <x v="1"/>
    </i>
    <i r="1">
      <x v="2"/>
    </i>
    <i r="1">
      <x v="7"/>
    </i>
    <i r="1">
      <x v="11"/>
    </i>
    <i r="1">
      <x v="15"/>
    </i>
    <i r="1">
      <x v="16"/>
    </i>
    <i t="default">
      <x v="32"/>
    </i>
    <i>
      <x v="33"/>
      <x v="2"/>
    </i>
    <i r="1">
      <x v="3"/>
    </i>
    <i r="1">
      <x v="4"/>
    </i>
    <i r="1">
      <x v="6"/>
    </i>
    <i r="1">
      <x v="7"/>
    </i>
    <i r="1">
      <x v="11"/>
    </i>
    <i r="1">
      <x v="15"/>
    </i>
    <i r="1">
      <x v="16"/>
    </i>
    <i r="1">
      <x v="17"/>
    </i>
    <i t="default">
      <x v="33"/>
    </i>
    <i>
      <x v="34"/>
      <x v="2"/>
    </i>
    <i r="1">
      <x v="11"/>
    </i>
    <i t="default">
      <x v="34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5">
    <pageField fld="0" hier="0"/>
    <pageField fld="13" hier="0"/>
    <pageField fld="12" hier="0"/>
    <pageField fld="32" hier="0"/>
    <pageField fld="31" hier="0"/>
  </pageFields>
  <dataFields count="10">
    <dataField name="TOTAL NF" fld="17" baseField="8" baseItem="1" numFmtId="4"/>
    <dataField name="Total Base Calc.ICMS" fld="39" baseField="0" baseItem="0"/>
    <dataField name="ICMS" fld="22" baseField="8" baseItem="1" numFmtId="4"/>
    <dataField name="ICMS OUTRAS" fld="23" baseField="8" baseItem="1" numFmtId="4"/>
    <dataField name="ICMS NT" fld="24" baseField="8" baseItem="1" numFmtId="4"/>
    <dataField name=" Vl IPI" fld="25" baseField="8" baseItem="12" numFmtId="4"/>
    <dataField name="Vl IPI Outras" fld="26" baseField="8" baseItem="5" numFmtId="4"/>
    <dataField name="Vl IPI NT." fld="27" baseField="8" baseItem="5" numFmtId="4"/>
    <dataField name="PIS" fld="29" baseField="8" baseItem="1" numFmtId="4"/>
    <dataField name="COFINS" fld="30" baseField="8" baseItem="1" numFmtId="4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243B19-FEF9-4DCE-927F-E9CD76C1927B}" name="Tabela dinâmica1" cacheId="11" applyNumberFormats="0" applyBorderFormats="0" applyFontFormats="0" applyPatternFormats="0" applyAlignmentFormats="0" applyWidthHeightFormats="1" dataCaption="Dados" updatedVersion="8" minRefreshableVersion="3" showMemberPropertyTips="0" useAutoFormatting="1" itemPrintTitles="1" createdVersion="8" indent="0" compact="0" compactData="0" gridDropZones="1">
  <location ref="A7:L135" firstHeaderRow="1" firstDataRow="2" firstDataCol="2" rowPageCount="5" colPageCount="1"/>
  <pivotFields count="40">
    <pivotField axis="axisPage" compact="0" outline="0" subtotalTop="0" showAll="0" includeNewItemsInFilter="1">
      <items count="4">
        <item x="1"/>
        <item m="1" x="2"/>
        <item x="0"/>
        <item t="default"/>
      </items>
    </pivotField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axis="axisRow" compact="0" outline="0" subtotalTop="0" showAll="0" includeNewItemsInFilter="1">
      <items count="36">
        <item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compact="0" outline="0" subtotalTop="0" showAll="0" includeNewItemsInFilter="1" defaultSubtotal="0"/>
    <pivotField axis="axisRow" compact="0" outline="0" subtotalTop="0" showAll="0" includeNewItemsInFilter="1">
      <items count="21">
        <item m="1" x="17"/>
        <item x="12"/>
        <item x="3"/>
        <item x="4"/>
        <item x="9"/>
        <item x="1"/>
        <item x="2"/>
        <item x="16"/>
        <item x="8"/>
        <item x="13"/>
        <item m="1" x="18"/>
        <item m="1" x="19"/>
        <item x="10"/>
        <item x="0"/>
        <item x="7"/>
        <item x="5"/>
        <item x="6"/>
        <item x="11"/>
        <item x="14"/>
        <item x="15"/>
        <item t="default"/>
      </items>
    </pivotField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24">
        <item x="8"/>
        <item x="6"/>
        <item x="4"/>
        <item x="1"/>
        <item x="7"/>
        <item x="0"/>
        <item x="15"/>
        <item x="11"/>
        <item x="10"/>
        <item x="5"/>
        <item x="3"/>
        <item x="13"/>
        <item x="2"/>
        <item x="12"/>
        <item m="1" x="19"/>
        <item m="1" x="20"/>
        <item x="9"/>
        <item x="14"/>
        <item m="1" x="17"/>
        <item m="1" x="21"/>
        <item x="16"/>
        <item m="1" x="18"/>
        <item m="1" x="22"/>
        <item t="default"/>
      </items>
    </pivotField>
    <pivotField axis="axisPage" compact="0" outline="0" subtotalTop="0" showAll="0" includeNewItemsInFilter="1" defaultSubtotal="0">
      <items count="3">
        <item x="1"/>
        <item x="0"/>
        <item x="2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compact="0" numFmtId="43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axis="axisPage" compact="0" outline="0" subtotalTop="0" showAll="0" includeNewItemsInFilter="1" defaultSubtotal="0">
      <items count="3">
        <item x="0"/>
        <item x="1"/>
        <item m="1" x="2"/>
      </items>
    </pivotField>
    <pivotField axis="axisPage" compact="0" outline="0" subtotalTop="0" showAll="0" includeNewItemsInFilter="1" defaultSubtotal="0">
      <items count="3">
        <item x="1"/>
        <item x="0"/>
        <item x="2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</pivotFields>
  <rowFields count="2">
    <field x="8"/>
    <field x="6"/>
  </rowFields>
  <rowItems count="127">
    <i>
      <x v="1"/>
      <x v="26"/>
    </i>
    <i t="default">
      <x v="1"/>
    </i>
    <i>
      <x v="2"/>
      <x v="18"/>
    </i>
    <i r="1">
      <x v="19"/>
    </i>
    <i r="1">
      <x v="21"/>
    </i>
    <i r="1">
      <x v="26"/>
    </i>
    <i r="1">
      <x v="28"/>
    </i>
    <i r="1">
      <x v="31"/>
    </i>
    <i r="1">
      <x v="32"/>
    </i>
    <i t="default">
      <x v="2"/>
    </i>
    <i>
      <x v="3"/>
      <x v="18"/>
    </i>
    <i r="1">
      <x v="19"/>
    </i>
    <i r="1">
      <x v="21"/>
    </i>
    <i r="1">
      <x v="26"/>
    </i>
    <i r="1">
      <x v="28"/>
    </i>
    <i r="1">
      <x v="31"/>
    </i>
    <i r="1">
      <x v="32"/>
    </i>
    <i t="default">
      <x v="3"/>
    </i>
    <i>
      <x v="4"/>
      <x v="20"/>
    </i>
    <i r="1">
      <x v="21"/>
    </i>
    <i r="1">
      <x v="24"/>
    </i>
    <i r="1">
      <x v="25"/>
    </i>
    <i r="1">
      <x v="27"/>
    </i>
    <i r="1">
      <x v="29"/>
    </i>
    <i r="1">
      <x v="31"/>
    </i>
    <i r="1">
      <x v="32"/>
    </i>
    <i r="1">
      <x v="33"/>
    </i>
    <i r="1">
      <x v="34"/>
    </i>
    <i t="default">
      <x v="4"/>
    </i>
    <i>
      <x v="5"/>
      <x v="18"/>
    </i>
    <i r="1">
      <x v="19"/>
    </i>
    <i r="1">
      <x v="24"/>
    </i>
    <i r="1">
      <x v="27"/>
    </i>
    <i r="1">
      <x v="28"/>
    </i>
    <i r="1">
      <x v="30"/>
    </i>
    <i r="1">
      <x v="33"/>
    </i>
    <i t="default">
      <x v="5"/>
    </i>
    <i>
      <x v="6"/>
      <x v="18"/>
    </i>
    <i r="1">
      <x v="19"/>
    </i>
    <i r="1">
      <x v="24"/>
    </i>
    <i r="1">
      <x v="27"/>
    </i>
    <i r="1">
      <x v="28"/>
    </i>
    <i r="1">
      <x v="30"/>
    </i>
    <i r="1">
      <x v="33"/>
    </i>
    <i t="default">
      <x v="6"/>
    </i>
    <i>
      <x v="7"/>
      <x/>
    </i>
    <i t="default">
      <x v="7"/>
    </i>
    <i>
      <x v="8"/>
      <x v="18"/>
    </i>
    <i r="1">
      <x v="19"/>
    </i>
    <i r="1">
      <x v="20"/>
    </i>
    <i r="1">
      <x v="29"/>
    </i>
    <i r="1">
      <x v="33"/>
    </i>
    <i t="default">
      <x v="8"/>
    </i>
    <i>
      <x v="9"/>
      <x v="25"/>
    </i>
    <i r="1">
      <x v="27"/>
    </i>
    <i r="1">
      <x v="30"/>
    </i>
    <i r="1">
      <x v="32"/>
    </i>
    <i r="1">
      <x v="33"/>
    </i>
    <i t="default">
      <x v="9"/>
    </i>
    <i>
      <x v="12"/>
      <x v="22"/>
    </i>
    <i r="1">
      <x v="28"/>
    </i>
    <i r="1">
      <x v="30"/>
    </i>
    <i t="default">
      <x v="12"/>
    </i>
    <i>
      <x v="13"/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t="default">
      <x v="13"/>
    </i>
    <i>
      <x v="14"/>
      <x v="18"/>
    </i>
    <i r="1">
      <x v="19"/>
    </i>
    <i r="1">
      <x v="20"/>
    </i>
    <i r="1">
      <x v="21"/>
    </i>
    <i r="1">
      <x v="22"/>
    </i>
    <i r="1">
      <x v="24"/>
    </i>
    <i r="1">
      <x v="26"/>
    </i>
    <i r="1">
      <x v="27"/>
    </i>
    <i r="1">
      <x v="28"/>
    </i>
    <i r="1">
      <x v="30"/>
    </i>
    <i t="default">
      <x v="14"/>
    </i>
    <i>
      <x v="15"/>
      <x v="18"/>
    </i>
    <i r="1">
      <x v="19"/>
    </i>
    <i r="1">
      <x v="20"/>
    </i>
    <i r="1">
      <x v="21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t="default">
      <x v="15"/>
    </i>
    <i>
      <x v="16"/>
      <x v="18"/>
    </i>
    <i r="1">
      <x v="22"/>
    </i>
    <i r="1">
      <x v="24"/>
    </i>
    <i r="1">
      <x v="26"/>
    </i>
    <i r="1">
      <x v="27"/>
    </i>
    <i r="1">
      <x v="30"/>
    </i>
    <i r="1">
      <x v="31"/>
    </i>
    <i r="1">
      <x v="32"/>
    </i>
    <i r="1">
      <x v="33"/>
    </i>
    <i t="default">
      <x v="16"/>
    </i>
    <i>
      <x v="17"/>
      <x v="22"/>
    </i>
    <i r="1">
      <x v="28"/>
    </i>
    <i r="1">
      <x v="30"/>
    </i>
    <i r="1">
      <x v="33"/>
    </i>
    <i t="default">
      <x v="17"/>
    </i>
    <i>
      <x v="18"/>
      <x v="29"/>
    </i>
    <i t="default">
      <x v="18"/>
    </i>
    <i>
      <x v="19"/>
      <x v="29"/>
    </i>
    <i t="default">
      <x v="19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5">
    <pageField fld="0" hier="0"/>
    <pageField fld="13" hier="0"/>
    <pageField fld="12" hier="0"/>
    <pageField fld="32" hier="0"/>
    <pageField fld="31" hier="0"/>
  </pageFields>
  <dataFields count="10">
    <dataField name="TOTAL NF" fld="17" baseField="8" baseItem="1" numFmtId="4"/>
    <dataField name="Total Base Calc.ICMS" fld="39" baseField="0" baseItem="0"/>
    <dataField name="ICMS" fld="22" baseField="8" baseItem="1" numFmtId="4"/>
    <dataField name="ICMS OUTRAS" fld="23" baseField="8" baseItem="1" numFmtId="4"/>
    <dataField name="ICMS NT" fld="24" baseField="8" baseItem="1" numFmtId="4"/>
    <dataField name="Vl IPI" fld="25" baseField="6" baseItem="57" numFmtId="4"/>
    <dataField name="Vl IPI Outras" fld="26" baseField="6" baseItem="57" numFmtId="4"/>
    <dataField name="Vl IPI NT." fld="27" baseField="6" baseItem="57" numFmtId="4"/>
    <dataField name="PIS" fld="29" baseField="8" baseItem="1" numFmtId="4"/>
    <dataField name="COFINS" fld="30" baseField="8" baseItem="1" numFmtId="4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F0A3A3-04F8-432A-BC57-2308834466CB}" name="Tabela dinâmica1" cacheId="11" applyNumberFormats="0" applyBorderFormats="0" applyFontFormats="0" applyPatternFormats="0" applyAlignmentFormats="0" applyWidthHeightFormats="1" dataCaption="Dados" updatedVersion="8" minRefreshableVersion="3" showMemberPropertyTips="0" useAutoFormatting="1" itemPrintTitles="1" createdVersion="8" indent="0" compact="0" compactData="0" gridDropZones="1">
  <location ref="A6:L302" firstHeaderRow="1" firstDataRow="2" firstDataCol="2" rowPageCount="4" colPageCount="1"/>
  <pivotFields count="40">
    <pivotField axis="axisPage" compact="0" outline="0" subtotalTop="0" showAll="0" includeNewItemsInFilter="1">
      <items count="4">
        <item x="1"/>
        <item m="1" x="2"/>
        <item x="0"/>
        <item t="default"/>
      </items>
    </pivotField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cludeNewItemsInFilter="1" sortType="descending">
      <items count="797">
        <item m="1" x="636"/>
        <item x="59"/>
        <item m="1" x="291"/>
        <item m="1" x="588"/>
        <item x="265"/>
        <item m="1" x="602"/>
        <item m="1" x="324"/>
        <item m="1" x="319"/>
        <item x="84"/>
        <item m="1" x="638"/>
        <item m="1" x="757"/>
        <item m="1" x="393"/>
        <item x="110"/>
        <item m="1" x="785"/>
        <item m="1" x="323"/>
        <item m="1" x="692"/>
        <item m="1" x="660"/>
        <item m="1" x="405"/>
        <item m="1" x="693"/>
        <item m="1" x="762"/>
        <item m="1" x="678"/>
        <item m="1" x="316"/>
        <item x="50"/>
        <item m="1" x="753"/>
        <item m="1" x="448"/>
        <item x="75"/>
        <item m="1" x="386"/>
        <item m="1" x="403"/>
        <item m="1" x="779"/>
        <item m="1" x="776"/>
        <item m="1" x="715"/>
        <item m="1" x="492"/>
        <item m="1" x="353"/>
        <item m="1" x="716"/>
        <item m="1" x="424"/>
        <item m="1" x="411"/>
        <item x="268"/>
        <item m="1" x="464"/>
        <item m="1" x="645"/>
        <item x="127"/>
        <item m="1" x="662"/>
        <item m="1" x="611"/>
        <item m="1" x="782"/>
        <item m="1" x="634"/>
        <item m="1" x="603"/>
        <item x="182"/>
        <item m="1" x="525"/>
        <item m="1" x="441"/>
        <item m="1" x="663"/>
        <item m="1" x="567"/>
        <item m="1" x="747"/>
        <item m="1" x="748"/>
        <item m="1" x="769"/>
        <item m="1" x="351"/>
        <item x="27"/>
        <item x="105"/>
        <item x="90"/>
        <item x="283"/>
        <item m="1" x="535"/>
        <item m="1" x="626"/>
        <item m="1" x="394"/>
        <item x="89"/>
        <item m="1" x="633"/>
        <item m="1" x="789"/>
        <item m="1" x="613"/>
        <item m="1" x="380"/>
        <item m="1" x="489"/>
        <item x="195"/>
        <item x="22"/>
        <item m="1" x="300"/>
        <item m="1" x="630"/>
        <item m="1" x="347"/>
        <item m="1" x="293"/>
        <item m="1" x="412"/>
        <item x="115"/>
        <item m="1" x="345"/>
        <item m="1" x="452"/>
        <item m="1" x="612"/>
        <item m="1" x="414"/>
        <item m="1" x="628"/>
        <item m="1" x="742"/>
        <item m="1" x="515"/>
        <item m="1" x="453"/>
        <item m="1" x="688"/>
        <item m="1" x="572"/>
        <item m="1" x="623"/>
        <item m="1" x="760"/>
        <item m="1" x="627"/>
        <item m="1" x="447"/>
        <item m="1" x="514"/>
        <item m="1" x="738"/>
        <item m="1" x="502"/>
        <item m="1" x="691"/>
        <item m="1" x="687"/>
        <item m="1" x="442"/>
        <item m="1" x="320"/>
        <item m="1" x="739"/>
        <item x="260"/>
        <item m="1" x="384"/>
        <item m="1" x="605"/>
        <item x="0"/>
        <item m="1" x="593"/>
        <item m="1" x="462"/>
        <item m="1" x="550"/>
        <item m="1" x="599"/>
        <item m="1" x="618"/>
        <item m="1" x="379"/>
        <item x="125"/>
        <item m="1" x="306"/>
        <item x="156"/>
        <item m="1" x="435"/>
        <item m="1" x="425"/>
        <item m="1" x="699"/>
        <item m="1" x="465"/>
        <item x="13"/>
        <item x="67"/>
        <item m="1" x="469"/>
        <item m="1" x="734"/>
        <item m="1" x="454"/>
        <item m="1" x="543"/>
        <item m="1" x="717"/>
        <item m="1" x="795"/>
        <item m="1" x="536"/>
        <item x="226"/>
        <item m="1" x="312"/>
        <item m="1" x="505"/>
        <item m="1" x="417"/>
        <item m="1" x="365"/>
        <item x="161"/>
        <item m="1" x="701"/>
        <item x="49"/>
        <item m="1" x="308"/>
        <item m="1" x="333"/>
        <item m="1" x="564"/>
        <item m="1" x="702"/>
        <item m="1" x="631"/>
        <item m="1" x="311"/>
        <item x="282"/>
        <item m="1" x="540"/>
        <item m="1" x="422"/>
        <item x="250"/>
        <item m="1" x="468"/>
        <item m="1" x="568"/>
        <item x="132"/>
        <item m="1" x="475"/>
        <item m="1" x="381"/>
        <item x="55"/>
        <item x="237"/>
        <item x="179"/>
        <item x="178"/>
        <item x="230"/>
        <item m="1" x="314"/>
        <item m="1" x="369"/>
        <item m="1" x="390"/>
        <item x="262"/>
        <item x="206"/>
        <item m="1" x="775"/>
        <item m="1" x="451"/>
        <item x="57"/>
        <item m="1" x="531"/>
        <item m="1" x="794"/>
        <item x="193"/>
        <item x="151"/>
        <item m="1" x="371"/>
        <item m="1" x="791"/>
        <item m="1" x="404"/>
        <item x="91"/>
        <item m="1" x="711"/>
        <item m="1" x="346"/>
        <item m="1" x="615"/>
        <item m="1" x="511"/>
        <item m="1" x="330"/>
        <item m="1" x="284"/>
        <item m="1" x="296"/>
        <item m="1" x="297"/>
        <item m="1" x="348"/>
        <item m="1" x="354"/>
        <item m="1" x="309"/>
        <item m="1" x="477"/>
        <item x="225"/>
        <item m="1" x="305"/>
        <item x="51"/>
        <item m="1" x="533"/>
        <item m="1" x="388"/>
        <item m="1" x="406"/>
        <item m="1" x="720"/>
        <item m="1" x="493"/>
        <item m="1" x="370"/>
        <item m="1" x="317"/>
        <item m="1" x="358"/>
        <item m="1" x="339"/>
        <item m="1" x="395"/>
        <item m="1" x="516"/>
        <item m="1" x="415"/>
        <item m="1" x="398"/>
        <item m="1" x="418"/>
        <item m="1" x="509"/>
        <item m="1" x="416"/>
        <item m="1" x="420"/>
        <item m="1" x="637"/>
        <item m="1" x="438"/>
        <item x="53"/>
        <item m="1" x="429"/>
        <item m="1" x="437"/>
        <item x="8"/>
        <item m="1" x="480"/>
        <item m="1" x="539"/>
        <item x="73"/>
        <item m="1" x="498"/>
        <item m="1" x="580"/>
        <item m="1" x="478"/>
        <item m="1" x="486"/>
        <item m="1" x="461"/>
        <item m="1" x="513"/>
        <item m="1" x="524"/>
        <item m="1" x="648"/>
        <item m="1" x="356"/>
        <item m="1" x="547"/>
        <item m="1" x="548"/>
        <item m="1" x="285"/>
        <item x="167"/>
        <item m="1" x="551"/>
        <item m="1" x="545"/>
        <item m="1" x="313"/>
        <item m="1" x="589"/>
        <item m="1" x="586"/>
        <item m="1" x="538"/>
        <item m="1" x="729"/>
        <item m="1" x="577"/>
        <item m="1" x="287"/>
        <item x="112"/>
        <item x="147"/>
        <item m="1" x="669"/>
        <item m="1" x="570"/>
        <item m="1" x="772"/>
        <item m="1" x="546"/>
        <item x="106"/>
        <item m="1" x="579"/>
        <item m="1" x="392"/>
        <item m="1" x="619"/>
        <item m="1" x="598"/>
        <item m="1" x="616"/>
        <item m="1" x="620"/>
        <item m="1" x="606"/>
        <item m="1" x="355"/>
        <item x="14"/>
        <item m="1" x="374"/>
        <item m="1" x="307"/>
        <item m="1" x="654"/>
        <item x="2"/>
        <item m="1" x="635"/>
        <item m="1" x="736"/>
        <item m="1" x="481"/>
        <item m="1" x="761"/>
        <item m="1" x="773"/>
        <item x="239"/>
        <item m="1" x="770"/>
        <item m="1" x="751"/>
        <item m="1" x="512"/>
        <item x="117"/>
        <item m="1" x="328"/>
        <item x="113"/>
        <item m="1" x="286"/>
        <item m="1" x="288"/>
        <item x="4"/>
        <item m="1" x="289"/>
        <item m="1" x="290"/>
        <item m="1" x="292"/>
        <item m="1" x="294"/>
        <item m="1" x="295"/>
        <item m="1" x="298"/>
        <item m="1" x="299"/>
        <item m="1" x="301"/>
        <item x="148"/>
        <item m="1" x="302"/>
        <item x="41"/>
        <item m="1" x="303"/>
        <item x="109"/>
        <item m="1" x="304"/>
        <item x="25"/>
        <item m="1" x="310"/>
        <item m="1" x="315"/>
        <item m="1" x="318"/>
        <item m="1" x="321"/>
        <item x="36"/>
        <item m="1" x="322"/>
        <item m="1" x="325"/>
        <item m="1" x="326"/>
        <item m="1" x="327"/>
        <item m="1" x="329"/>
        <item m="1" x="331"/>
        <item m="1" x="332"/>
        <item m="1" x="334"/>
        <item m="1" x="335"/>
        <item m="1" x="336"/>
        <item x="3"/>
        <item m="1" x="337"/>
        <item m="1" x="338"/>
        <item x="97"/>
        <item m="1" x="340"/>
        <item m="1" x="341"/>
        <item m="1" x="342"/>
        <item m="1" x="343"/>
        <item m="1" x="344"/>
        <item m="1" x="349"/>
        <item m="1" x="350"/>
        <item m="1" x="352"/>
        <item m="1" x="357"/>
        <item m="1" x="359"/>
        <item m="1" x="360"/>
        <item m="1" x="361"/>
        <item m="1" x="362"/>
        <item m="1" x="363"/>
        <item m="1" x="364"/>
        <item m="1" x="366"/>
        <item m="1" x="367"/>
        <item x="64"/>
        <item x="65"/>
        <item m="1" x="368"/>
        <item m="1" x="372"/>
        <item m="1" x="373"/>
        <item m="1" x="375"/>
        <item x="138"/>
        <item m="1" x="376"/>
        <item m="1" x="377"/>
        <item m="1" x="378"/>
        <item x="194"/>
        <item m="1" x="382"/>
        <item x="158"/>
        <item m="1" x="383"/>
        <item m="1" x="385"/>
        <item m="1" x="387"/>
        <item m="1" x="389"/>
        <item m="1" x="391"/>
        <item m="1" x="396"/>
        <item m="1" x="397"/>
        <item m="1" x="399"/>
        <item m="1" x="400"/>
        <item m="1" x="401"/>
        <item m="1" x="402"/>
        <item m="1" x="407"/>
        <item m="1" x="408"/>
        <item m="1" x="409"/>
        <item m="1" x="410"/>
        <item m="1" x="413"/>
        <item m="1" x="419"/>
        <item m="1" x="421"/>
        <item m="1" x="423"/>
        <item m="1" x="426"/>
        <item m="1" x="427"/>
        <item m="1" x="428"/>
        <item m="1" x="430"/>
        <item x="20"/>
        <item m="1" x="431"/>
        <item m="1" x="432"/>
        <item m="1" x="433"/>
        <item m="1" x="434"/>
        <item m="1" x="436"/>
        <item m="1" x="439"/>
        <item m="1" x="440"/>
        <item m="1" x="443"/>
        <item m="1" x="444"/>
        <item m="1" x="445"/>
        <item m="1" x="446"/>
        <item m="1" x="449"/>
        <item m="1" x="450"/>
        <item m="1" x="455"/>
        <item m="1" x="456"/>
        <item m="1" x="457"/>
        <item m="1" x="458"/>
        <item m="1" x="459"/>
        <item m="1" x="460"/>
        <item x="217"/>
        <item m="1" x="463"/>
        <item m="1" x="466"/>
        <item m="1" x="467"/>
        <item x="168"/>
        <item m="1" x="470"/>
        <item m="1" x="471"/>
        <item m="1" x="472"/>
        <item m="1" x="473"/>
        <item m="1" x="474"/>
        <item m="1" x="476"/>
        <item x="136"/>
        <item m="1" x="479"/>
        <item m="1" x="482"/>
        <item m="1" x="483"/>
        <item m="1" x="484"/>
        <item m="1" x="485"/>
        <item m="1" x="487"/>
        <item m="1" x="488"/>
        <item m="1" x="490"/>
        <item m="1" x="491"/>
        <item m="1" x="494"/>
        <item m="1" x="495"/>
        <item m="1" x="496"/>
        <item m="1" x="497"/>
        <item m="1" x="499"/>
        <item m="1" x="500"/>
        <item m="1" x="501"/>
        <item m="1" x="503"/>
        <item m="1" x="504"/>
        <item m="1" x="506"/>
        <item m="1" x="507"/>
        <item m="1" x="508"/>
        <item x="157"/>
        <item m="1" x="510"/>
        <item m="1" x="517"/>
        <item m="1" x="518"/>
        <item m="1" x="519"/>
        <item m="1" x="520"/>
        <item m="1" x="521"/>
        <item m="1" x="522"/>
        <item m="1" x="523"/>
        <item m="1" x="526"/>
        <item m="1" x="527"/>
        <item m="1" x="528"/>
        <item m="1" x="529"/>
        <item m="1" x="530"/>
        <item m="1" x="532"/>
        <item m="1" x="534"/>
        <item m="1" x="537"/>
        <item m="1" x="541"/>
        <item m="1" x="542"/>
        <item m="1" x="544"/>
        <item m="1" x="549"/>
        <item m="1" x="552"/>
        <item m="1" x="553"/>
        <item m="1" x="554"/>
        <item x="246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5"/>
        <item m="1" x="566"/>
        <item m="1" x="569"/>
        <item m="1" x="571"/>
        <item m="1" x="573"/>
        <item m="1" x="574"/>
        <item x="223"/>
        <item m="1" x="575"/>
        <item m="1" x="576"/>
        <item x="221"/>
        <item m="1" x="578"/>
        <item m="1" x="581"/>
        <item m="1" x="582"/>
        <item m="1" x="583"/>
        <item m="1" x="584"/>
        <item m="1" x="585"/>
        <item m="1" x="587"/>
        <item m="1" x="590"/>
        <item m="1" x="591"/>
        <item m="1" x="592"/>
        <item m="1" x="594"/>
        <item m="1" x="595"/>
        <item m="1" x="596"/>
        <item m="1" x="597"/>
        <item m="1" x="600"/>
        <item m="1" x="601"/>
        <item x="259"/>
        <item m="1" x="604"/>
        <item m="1" x="607"/>
        <item m="1" x="608"/>
        <item m="1" x="609"/>
        <item m="1" x="610"/>
        <item x="96"/>
        <item m="1" x="614"/>
        <item m="1" x="617"/>
        <item m="1" x="621"/>
        <item m="1" x="622"/>
        <item m="1" x="624"/>
        <item m="1" x="625"/>
        <item m="1" x="629"/>
        <item x="232"/>
        <item m="1" x="632"/>
        <item x="108"/>
        <item m="1" x="639"/>
        <item m="1" x="640"/>
        <item m="1" x="641"/>
        <item m="1" x="642"/>
        <item m="1" x="643"/>
        <item m="1" x="644"/>
        <item m="1" x="646"/>
        <item m="1" x="647"/>
        <item m="1" x="649"/>
        <item x="248"/>
        <item m="1" x="650"/>
        <item m="1" x="651"/>
        <item m="1" x="652"/>
        <item m="1" x="653"/>
        <item m="1" x="655"/>
        <item m="1" x="656"/>
        <item m="1" x="657"/>
        <item m="1" x="658"/>
        <item m="1" x="659"/>
        <item m="1" x="661"/>
        <item x="17"/>
        <item m="1" x="664"/>
        <item m="1" x="665"/>
        <item m="1" x="666"/>
        <item m="1" x="667"/>
        <item m="1" x="668"/>
        <item x="201"/>
        <item m="1" x="670"/>
        <item m="1" x="671"/>
        <item m="1" x="672"/>
        <item m="1" x="673"/>
        <item m="1" x="674"/>
        <item m="1" x="675"/>
        <item m="1" x="676"/>
        <item m="1" x="677"/>
        <item m="1" x="679"/>
        <item m="1" x="680"/>
        <item m="1" x="681"/>
        <item m="1" x="682"/>
        <item m="1" x="683"/>
        <item m="1" x="684"/>
        <item m="1" x="685"/>
        <item m="1" x="686"/>
        <item m="1" x="689"/>
        <item m="1" x="690"/>
        <item m="1" x="694"/>
        <item m="1" x="695"/>
        <item m="1" x="696"/>
        <item m="1" x="697"/>
        <item m="1" x="698"/>
        <item m="1" x="700"/>
        <item m="1" x="703"/>
        <item m="1" x="704"/>
        <item m="1" x="705"/>
        <item m="1" x="706"/>
        <item m="1" x="707"/>
        <item m="1" x="708"/>
        <item m="1" x="709"/>
        <item x="6"/>
        <item m="1" x="710"/>
        <item x="46"/>
        <item m="1" x="712"/>
        <item m="1" x="713"/>
        <item m="1" x="714"/>
        <item x="98"/>
        <item x="99"/>
        <item m="1" x="718"/>
        <item m="1" x="719"/>
        <item m="1" x="721"/>
        <item x="240"/>
        <item m="1" x="722"/>
        <item m="1" x="723"/>
        <item m="1" x="724"/>
        <item m="1" x="725"/>
        <item m="1" x="726"/>
        <item m="1" x="727"/>
        <item m="1" x="728"/>
        <item m="1" x="730"/>
        <item m="1" x="731"/>
        <item m="1" x="732"/>
        <item m="1" x="733"/>
        <item m="1" x="735"/>
        <item x="33"/>
        <item x="143"/>
        <item m="1" x="737"/>
        <item m="1" x="740"/>
        <item m="1" x="741"/>
        <item m="1" x="743"/>
        <item x="249"/>
        <item m="1" x="744"/>
        <item m="1" x="745"/>
        <item m="1" x="746"/>
        <item x="124"/>
        <item m="1" x="749"/>
        <item m="1" x="750"/>
        <item m="1" x="752"/>
        <item m="1" x="754"/>
        <item m="1" x="755"/>
        <item m="1" x="756"/>
        <item m="1" x="758"/>
        <item m="1" x="759"/>
        <item m="1" x="763"/>
        <item m="1" x="764"/>
        <item m="1" x="765"/>
        <item m="1" x="766"/>
        <item m="1" x="767"/>
        <item m="1" x="768"/>
        <item x="216"/>
        <item m="1" x="771"/>
        <item m="1" x="774"/>
        <item m="1" x="777"/>
        <item m="1" x="778"/>
        <item m="1" x="780"/>
        <item m="1" x="781"/>
        <item m="1" x="783"/>
        <item m="1" x="784"/>
        <item m="1" x="786"/>
        <item m="1" x="787"/>
        <item m="1" x="788"/>
        <item x="137"/>
        <item x="173"/>
        <item m="1" x="790"/>
        <item m="1" x="792"/>
        <item m="1" x="793"/>
        <item x="251"/>
        <item x="1"/>
        <item x="5"/>
        <item x="7"/>
        <item x="9"/>
        <item x="10"/>
        <item x="11"/>
        <item x="12"/>
        <item x="15"/>
        <item x="16"/>
        <item x="18"/>
        <item x="19"/>
        <item x="21"/>
        <item x="23"/>
        <item x="24"/>
        <item x="26"/>
        <item x="28"/>
        <item x="29"/>
        <item x="30"/>
        <item x="31"/>
        <item x="32"/>
        <item x="34"/>
        <item x="35"/>
        <item x="37"/>
        <item x="38"/>
        <item x="39"/>
        <item x="40"/>
        <item x="42"/>
        <item x="43"/>
        <item x="44"/>
        <item x="45"/>
        <item x="47"/>
        <item x="48"/>
        <item x="52"/>
        <item x="54"/>
        <item x="56"/>
        <item x="58"/>
        <item x="60"/>
        <item x="61"/>
        <item x="62"/>
        <item x="63"/>
        <item x="66"/>
        <item x="68"/>
        <item x="69"/>
        <item x="70"/>
        <item x="71"/>
        <item x="72"/>
        <item x="74"/>
        <item x="76"/>
        <item x="77"/>
        <item x="78"/>
        <item x="79"/>
        <item x="80"/>
        <item x="81"/>
        <item x="82"/>
        <item x="83"/>
        <item x="85"/>
        <item x="86"/>
        <item x="87"/>
        <item x="88"/>
        <item x="92"/>
        <item x="93"/>
        <item x="94"/>
        <item x="95"/>
        <item x="100"/>
        <item x="101"/>
        <item x="102"/>
        <item x="103"/>
        <item x="104"/>
        <item x="107"/>
        <item x="111"/>
        <item x="114"/>
        <item x="116"/>
        <item x="118"/>
        <item x="119"/>
        <item x="120"/>
        <item x="121"/>
        <item x="122"/>
        <item x="123"/>
        <item x="126"/>
        <item x="128"/>
        <item x="129"/>
        <item x="130"/>
        <item x="131"/>
        <item x="133"/>
        <item x="134"/>
        <item x="135"/>
        <item x="139"/>
        <item x="140"/>
        <item x="141"/>
        <item x="142"/>
        <item x="144"/>
        <item x="145"/>
        <item x="146"/>
        <item x="149"/>
        <item x="150"/>
        <item x="152"/>
        <item x="153"/>
        <item x="154"/>
        <item x="155"/>
        <item x="159"/>
        <item x="160"/>
        <item x="162"/>
        <item x="163"/>
        <item x="164"/>
        <item x="165"/>
        <item x="166"/>
        <item x="169"/>
        <item x="170"/>
        <item x="171"/>
        <item x="172"/>
        <item x="174"/>
        <item x="175"/>
        <item x="176"/>
        <item x="177"/>
        <item x="180"/>
        <item x="181"/>
        <item x="183"/>
        <item x="184"/>
        <item x="185"/>
        <item x="186"/>
        <item x="187"/>
        <item x="188"/>
        <item x="189"/>
        <item x="190"/>
        <item x="191"/>
        <item x="192"/>
        <item x="196"/>
        <item x="197"/>
        <item x="198"/>
        <item x="199"/>
        <item x="200"/>
        <item x="202"/>
        <item x="203"/>
        <item x="204"/>
        <item x="205"/>
        <item x="207"/>
        <item x="208"/>
        <item x="209"/>
        <item x="210"/>
        <item x="211"/>
        <item x="212"/>
        <item x="213"/>
        <item x="214"/>
        <item x="215"/>
        <item x="218"/>
        <item x="219"/>
        <item x="220"/>
        <item x="222"/>
        <item x="224"/>
        <item x="227"/>
        <item x="228"/>
        <item x="229"/>
        <item x="231"/>
        <item x="233"/>
        <item x="234"/>
        <item x="235"/>
        <item x="236"/>
        <item x="238"/>
        <item x="241"/>
        <item x="242"/>
        <item x="243"/>
        <item x="244"/>
        <item x="245"/>
        <item x="247"/>
        <item x="252"/>
        <item x="253"/>
        <item x="254"/>
        <item x="255"/>
        <item x="256"/>
        <item x="257"/>
        <item x="258"/>
        <item x="261"/>
        <item x="263"/>
        <item x="264"/>
        <item x="266"/>
        <item x="267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24">
        <item x="8"/>
        <item x="6"/>
        <item x="4"/>
        <item x="1"/>
        <item x="7"/>
        <item x="0"/>
        <item x="15"/>
        <item x="11"/>
        <item x="10"/>
        <item x="5"/>
        <item x="3"/>
        <item x="13"/>
        <item x="2"/>
        <item x="12"/>
        <item m="1" x="19"/>
        <item m="1" x="20"/>
        <item x="9"/>
        <item x="14"/>
        <item m="1" x="17"/>
        <item m="1" x="21"/>
        <item x="16"/>
        <item m="1" x="18"/>
        <item m="1" x="22"/>
        <item t="default"/>
      </items>
    </pivotField>
    <pivotField axis="axisPage" compact="0" outline="0" subtotalTop="0" showAll="0" includeNewItemsInFilter="1" defaultSubtotal="0">
      <items count="3">
        <item x="1"/>
        <item x="0"/>
        <item x="2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compact="0" numFmtId="43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axis="axisPage" compact="0" outline="0" subtotalTop="0" showAll="0" includeNewItemsInFilter="1" defaultSubtotal="0">
      <items count="3">
        <item x="0"/>
        <item x="1"/>
        <item m="1" x="2"/>
      </items>
    </pivotField>
    <pivotField axis="axisRow" compact="0" outline="0" subtotalTop="0" showAll="0" includeNewItemsInFilter="1">
      <items count="4">
        <item x="1"/>
        <item x="0"/>
        <item x="2"/>
        <item t="default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</pivotFields>
  <rowFields count="2">
    <field x="32"/>
    <field x="5"/>
  </rowFields>
  <rowItems count="295">
    <i>
      <x/>
      <x v="114"/>
    </i>
    <i r="1">
      <x v="693"/>
    </i>
    <i r="1">
      <x v="115"/>
    </i>
    <i r="1">
      <x v="748"/>
    </i>
    <i r="1">
      <x v="713"/>
    </i>
    <i r="1">
      <x v="664"/>
    </i>
    <i r="1">
      <x v="602"/>
    </i>
    <i r="1">
      <x v="620"/>
    </i>
    <i r="1">
      <x v="298"/>
    </i>
    <i r="1">
      <x v="615"/>
    </i>
    <i r="1">
      <x v="613"/>
    </i>
    <i r="1">
      <x v="729"/>
    </i>
    <i r="1">
      <x v="730"/>
    </i>
    <i r="1">
      <x v="751"/>
    </i>
    <i r="1">
      <x v="703"/>
    </i>
    <i r="1">
      <x v="614"/>
    </i>
    <i r="1">
      <x v="261"/>
    </i>
    <i r="1">
      <x v="158"/>
    </i>
    <i r="1">
      <x v="284"/>
    </i>
    <i r="1">
      <x v="698"/>
    </i>
    <i r="1">
      <x v="712"/>
    </i>
    <i r="1">
      <x v="740"/>
    </i>
    <i r="1">
      <x v="788"/>
    </i>
    <i r="1">
      <x v="776"/>
    </i>
    <i r="1">
      <x v="625"/>
    </i>
    <i r="1">
      <x v="608"/>
    </i>
    <i r="1">
      <x v="643"/>
    </i>
    <i r="1">
      <x v="317"/>
    </i>
    <i r="1">
      <x v="755"/>
    </i>
    <i r="1">
      <x v="700"/>
    </i>
    <i r="1">
      <x v="4"/>
    </i>
    <i r="1">
      <x v="166"/>
    </i>
    <i r="1">
      <x v="661"/>
    </i>
    <i r="1">
      <x v="728"/>
    </i>
    <i r="1">
      <x v="143"/>
    </i>
    <i r="1">
      <x v="612"/>
    </i>
    <i r="1">
      <x v="681"/>
    </i>
    <i r="1">
      <x v="295"/>
    </i>
    <i r="1">
      <x v="564"/>
    </i>
    <i r="1">
      <x v="547"/>
    </i>
    <i r="1">
      <x v="696"/>
    </i>
    <i r="1">
      <x v="651"/>
    </i>
    <i r="1">
      <x v="790"/>
    </i>
    <i r="1">
      <x v="1"/>
    </i>
    <i r="1">
      <x v="623"/>
    </i>
    <i r="1">
      <x v="74"/>
    </i>
    <i t="default">
      <x/>
    </i>
    <i>
      <x v="1"/>
      <x v="667"/>
    </i>
    <i r="1">
      <x v="662"/>
    </i>
    <i r="1">
      <x v="617"/>
    </i>
    <i r="1">
      <x v="609"/>
    </i>
    <i r="1">
      <x v="128"/>
    </i>
    <i r="1">
      <x v="236"/>
    </i>
    <i r="1">
      <x v="726"/>
    </i>
    <i r="1">
      <x v="508"/>
    </i>
    <i r="1">
      <x v="670"/>
    </i>
    <i r="1">
      <x v="140"/>
    </i>
    <i r="1">
      <x v="652"/>
    </i>
    <i r="1">
      <x v="665"/>
    </i>
    <i r="1">
      <x v="753"/>
    </i>
    <i r="1">
      <x v="39"/>
    </i>
    <i r="1">
      <x v="551"/>
    </i>
    <i r="1">
      <x v="261"/>
    </i>
    <i r="1">
      <x v="622"/>
    </i>
    <i r="1">
      <x v="669"/>
    </i>
    <i r="1">
      <x v="298"/>
    </i>
    <i r="1">
      <x v="762"/>
    </i>
    <i r="1">
      <x v="791"/>
    </i>
    <i r="1">
      <x v="687"/>
    </i>
    <i r="1">
      <x v="680"/>
    </i>
    <i r="1">
      <x v="690"/>
    </i>
    <i r="1">
      <x v="149"/>
    </i>
    <i r="1">
      <x v="793"/>
    </i>
    <i r="1">
      <x v="471"/>
    </i>
    <i r="1">
      <x v="429"/>
    </i>
    <i r="1">
      <x v="698"/>
    </i>
    <i r="1">
      <x v="56"/>
    </i>
    <i r="1">
      <x v="100"/>
    </i>
    <i r="1">
      <x v="769"/>
    </i>
    <i r="1">
      <x v="767"/>
    </i>
    <i r="1">
      <x v="540"/>
    </i>
    <i r="1">
      <x v="629"/>
    </i>
    <i r="1">
      <x v="644"/>
    </i>
    <i r="1">
      <x v="273"/>
    </i>
    <i r="1">
      <x v="653"/>
    </i>
    <i r="1">
      <x v="607"/>
    </i>
    <i r="1">
      <x v="640"/>
    </i>
    <i r="1">
      <x v="45"/>
    </i>
    <i r="1">
      <x v="786"/>
    </i>
    <i r="1">
      <x v="352"/>
    </i>
    <i r="1">
      <x v="639"/>
    </i>
    <i r="1">
      <x v="624"/>
    </i>
    <i r="1">
      <x v="694"/>
    </i>
    <i r="1">
      <x v="155"/>
    </i>
    <i r="1">
      <x v="686"/>
    </i>
    <i r="1">
      <x v="738"/>
    </i>
    <i r="1">
      <x v="616"/>
    </i>
    <i r="1">
      <x v="685"/>
    </i>
    <i r="1">
      <x v="672"/>
    </i>
    <i r="1">
      <x v="718"/>
    </i>
    <i r="1">
      <x v="656"/>
    </i>
    <i r="1">
      <x v="618"/>
    </i>
    <i r="1">
      <x v="770"/>
    </i>
    <i r="1">
      <x v="207"/>
    </i>
    <i r="1">
      <x v="663"/>
    </i>
    <i r="1">
      <x v="781"/>
    </i>
    <i r="1">
      <x v="723"/>
    </i>
    <i r="1">
      <x v="707"/>
    </i>
    <i r="1">
      <x v="632"/>
    </i>
    <i r="1">
      <x v="699"/>
    </i>
    <i r="1">
      <x v="673"/>
    </i>
    <i r="1">
      <x v="264"/>
    </i>
    <i r="1">
      <x v="719"/>
    </i>
    <i r="1">
      <x v="724"/>
    </i>
    <i r="1">
      <x v="148"/>
    </i>
    <i r="1">
      <x v="204"/>
    </i>
    <i r="1">
      <x v="675"/>
    </i>
    <i r="1">
      <x v="448"/>
    </i>
    <i r="1">
      <x v="746"/>
    </i>
    <i r="1">
      <x v="745"/>
    </i>
    <i r="1">
      <x v="650"/>
    </i>
    <i r="1">
      <x v="67"/>
    </i>
    <i r="1">
      <x v="734"/>
    </i>
    <i r="1">
      <x v="758"/>
    </i>
    <i r="1">
      <x v="55"/>
    </i>
    <i r="1">
      <x v="279"/>
    </i>
    <i r="1">
      <x v="757"/>
    </i>
    <i r="1">
      <x v="546"/>
    </i>
    <i r="1">
      <x v="702"/>
    </i>
    <i r="1">
      <x v="74"/>
    </i>
    <i r="1">
      <x v="491"/>
    </i>
    <i r="1">
      <x v="720"/>
    </i>
    <i r="1">
      <x v="36"/>
    </i>
    <i r="1">
      <x v="683"/>
    </i>
    <i r="1">
      <x v="634"/>
    </i>
    <i r="1">
      <x v="695"/>
    </i>
    <i r="1">
      <x v="714"/>
    </i>
    <i r="1">
      <x v="764"/>
    </i>
    <i r="1">
      <x v="794"/>
    </i>
    <i r="1">
      <x v="676"/>
    </i>
    <i r="1">
      <x v="743"/>
    </i>
    <i r="1">
      <x v="658"/>
    </i>
    <i r="1">
      <x v="787"/>
    </i>
    <i r="1">
      <x v="8"/>
    </i>
    <i r="1">
      <x v="759"/>
    </i>
    <i r="1">
      <x v="701"/>
    </i>
    <i r="1">
      <x v="481"/>
    </i>
    <i r="1">
      <x v="785"/>
    </i>
    <i r="1">
      <x v="230"/>
    </i>
    <i r="1">
      <x v="570"/>
    </i>
    <i r="1">
      <x v="328"/>
    </i>
    <i r="1">
      <x v="231"/>
    </i>
    <i r="1">
      <x v="405"/>
    </i>
    <i r="1">
      <x v="147"/>
    </i>
    <i r="1">
      <x v="691"/>
    </i>
    <i r="1">
      <x v="626"/>
    </i>
    <i r="1">
      <x v="679"/>
    </i>
    <i r="1">
      <x v="654"/>
    </i>
    <i r="1">
      <x v="688"/>
    </i>
    <i r="1">
      <x v="123"/>
    </i>
    <i r="1">
      <x v="574"/>
    </i>
    <i r="1">
      <x v="744"/>
    </i>
    <i r="1">
      <x v="725"/>
    </i>
    <i r="1">
      <x v="107"/>
    </i>
    <i r="1">
      <x v="733"/>
    </i>
    <i r="1">
      <x v="259"/>
    </i>
    <i r="1">
      <x v="326"/>
    </i>
    <i r="1">
      <x v="760"/>
    </i>
    <i r="1">
      <x v="739"/>
    </i>
    <i r="1">
      <x v="763"/>
    </i>
    <i r="1">
      <x v="657"/>
    </i>
    <i r="1">
      <x v="777"/>
    </i>
    <i r="1">
      <x v="773"/>
    </i>
    <i r="1">
      <x v="779"/>
    </i>
    <i r="1">
      <x v="754"/>
    </i>
    <i r="1">
      <x v="630"/>
    </i>
    <i r="1">
      <x v="761"/>
    </i>
    <i r="1">
      <x v="668"/>
    </i>
    <i r="1">
      <x v="445"/>
    </i>
    <i r="1">
      <x v="465"/>
    </i>
    <i r="1">
      <x v="774"/>
    </i>
    <i r="1">
      <x v="659"/>
    </i>
    <i r="1">
      <x v="631"/>
    </i>
    <i r="1">
      <x v="641"/>
    </i>
    <i r="1">
      <x v="721"/>
    </i>
    <i r="1">
      <x v="68"/>
    </i>
    <i r="1">
      <x v="542"/>
    </i>
    <i r="1">
      <x v="708"/>
    </i>
    <i r="1">
      <x v="154"/>
    </i>
    <i r="1">
      <x v="161"/>
    </i>
    <i r="1">
      <x v="766"/>
    </i>
    <i r="1">
      <x v="627"/>
    </i>
    <i r="1">
      <x v="249"/>
    </i>
    <i r="1">
      <x v="277"/>
    </i>
    <i r="1">
      <x v="789"/>
    </i>
    <i r="1">
      <x v="765"/>
    </i>
    <i r="1">
      <x v="54"/>
    </i>
    <i r="1">
      <x v="602"/>
    </i>
    <i r="1">
      <x v="756"/>
    </i>
    <i r="1">
      <x v="736"/>
    </i>
    <i r="1">
      <x v="25"/>
    </i>
    <i r="1">
      <x v="376"/>
    </i>
    <i r="1">
      <x v="784"/>
    </i>
    <i r="1">
      <x v="150"/>
    </i>
    <i r="1">
      <x v="660"/>
    </i>
    <i r="1">
      <x v="737"/>
    </i>
    <i r="1">
      <x v="671"/>
    </i>
    <i r="1">
      <x v="179"/>
    </i>
    <i r="1">
      <x v="742"/>
    </i>
    <i r="1">
      <x v="255"/>
    </i>
    <i r="1">
      <x v="692"/>
    </i>
    <i r="1">
      <x v="792"/>
    </i>
    <i r="1">
      <x v="109"/>
    </i>
    <i r="1">
      <x v="479"/>
    </i>
    <i r="1">
      <x v="741"/>
    </i>
    <i r="1">
      <x v="601"/>
    </i>
    <i r="1">
      <x v="704"/>
    </i>
    <i r="1">
      <x v="768"/>
    </i>
    <i r="1">
      <x v="565"/>
    </i>
    <i r="1">
      <x v="636"/>
    </i>
    <i r="1">
      <x v="637"/>
    </i>
    <i r="1">
      <x v="666"/>
    </i>
    <i r="1">
      <x v="642"/>
    </i>
    <i r="1">
      <x v="383"/>
    </i>
    <i r="1">
      <x v="706"/>
    </i>
    <i r="1">
      <x v="684"/>
    </i>
    <i r="1">
      <x v="649"/>
    </i>
    <i r="1">
      <x v="322"/>
    </i>
    <i r="1">
      <x v="731"/>
    </i>
    <i r="1">
      <x v="778"/>
    </i>
    <i r="1">
      <x v="655"/>
    </i>
    <i r="1">
      <x v="146"/>
    </i>
    <i r="1">
      <x v="782"/>
    </i>
    <i r="1">
      <x v="621"/>
    </i>
    <i r="1">
      <x v="689"/>
    </i>
    <i r="1">
      <x v="711"/>
    </i>
    <i r="1">
      <x v="727"/>
    </i>
    <i r="1">
      <x v="181"/>
    </i>
    <i r="1">
      <x v="61"/>
    </i>
    <i r="1">
      <x v="716"/>
    </i>
    <i r="1">
      <x v="678"/>
    </i>
    <i r="1">
      <x v="201"/>
    </i>
    <i r="1">
      <x v="682"/>
    </i>
    <i r="1">
      <x v="275"/>
    </i>
    <i r="1">
      <x v="316"/>
    </i>
    <i r="1">
      <x v="710"/>
    </i>
    <i r="1">
      <x v="749"/>
    </i>
    <i r="1">
      <x v="12"/>
    </i>
    <i r="1">
      <x v="646"/>
    </i>
    <i r="1">
      <x v="619"/>
    </i>
    <i r="1">
      <x v="709"/>
    </i>
    <i r="1">
      <x v="732"/>
    </i>
    <i r="1">
      <x v="705"/>
    </i>
    <i r="1">
      <x v="717"/>
    </i>
    <i r="1">
      <x v="722"/>
    </i>
    <i r="1">
      <x v="780"/>
    </i>
    <i r="1">
      <x v="648"/>
    </i>
    <i r="1">
      <x v="162"/>
    </i>
    <i r="1">
      <x v="645"/>
    </i>
    <i r="1">
      <x v="502"/>
    </i>
    <i r="1">
      <x v="130"/>
    </i>
    <i r="1">
      <x v="677"/>
    </i>
    <i r="1">
      <x v="22"/>
    </i>
    <i r="1">
      <x v="220"/>
    </i>
    <i r="1">
      <x v="735"/>
    </i>
    <i r="1">
      <x v="752"/>
    </i>
    <i r="1">
      <x v="647"/>
    </i>
    <i r="1">
      <x v="628"/>
    </i>
    <i r="1">
      <x v="606"/>
    </i>
    <i r="1">
      <x v="589"/>
    </i>
    <i r="1">
      <x v="697"/>
    </i>
    <i r="1">
      <x v="610"/>
    </i>
    <i r="1">
      <x v="638"/>
    </i>
    <i r="1">
      <x v="771"/>
    </i>
    <i r="1">
      <x v="775"/>
    </i>
    <i r="1">
      <x v="611"/>
    </i>
    <i r="1">
      <x v="772"/>
    </i>
    <i r="1">
      <x v="674"/>
    </i>
    <i r="1">
      <x v="372"/>
    </i>
    <i r="1">
      <x v="715"/>
    </i>
    <i r="1">
      <x v="245"/>
    </i>
    <i r="1">
      <x v="750"/>
    </i>
    <i r="1">
      <x v="635"/>
    </i>
    <i r="1">
      <x v="747"/>
    </i>
    <i r="1">
      <x v="783"/>
    </i>
    <i r="1">
      <x v="633"/>
    </i>
    <i r="1">
      <x v="97"/>
    </i>
    <i t="default">
      <x v="1"/>
    </i>
    <i>
      <x v="2"/>
      <x v="57"/>
    </i>
    <i r="1">
      <x v="137"/>
    </i>
    <i r="1">
      <x v="275"/>
    </i>
    <i r="1">
      <x v="795"/>
    </i>
    <i r="1">
      <x v="693"/>
    </i>
    <i t="default">
      <x v="2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4">
    <pageField fld="0" hier="0"/>
    <pageField fld="13" hier="0"/>
    <pageField fld="12" hier="0"/>
    <pageField fld="31" hier="0"/>
  </pageFields>
  <dataFields count="10">
    <dataField name="TOTAL NF" fld="17" baseField="8" baseItem="1" numFmtId="4"/>
    <dataField name="Total Base Calc.ICMS" fld="39" baseField="0" baseItem="0"/>
    <dataField name="ICMS" fld="22" baseField="8" baseItem="1" numFmtId="4"/>
    <dataField name="ICMS OUTRAS" fld="23" baseField="8" baseItem="1" numFmtId="4"/>
    <dataField name="ICMS NT" fld="24" baseField="8" baseItem="1" numFmtId="4"/>
    <dataField name="Vl IPI" fld="25" baseField="5" baseItem="1083" numFmtId="4"/>
    <dataField name="Vl IPI Outras" fld="26" baseField="5" baseItem="1083" numFmtId="4"/>
    <dataField name="Vl IPI NT" fld="27" baseField="5" baseItem="1083" numFmtId="4"/>
    <dataField name="PIS" fld="29" baseField="8" baseItem="1" numFmtId="4"/>
    <dataField name="COFINS" fld="30" baseField="8" baseItem="1" numFmtId="4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fs_conf" refreshOnLoad="1" adjustColumnWidth="0" connectionId="1" xr16:uid="{0E04F62E-8B39-4AA0-9FB5-06CEEC8159BB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9B7FB-B067-4548-AE83-BB2A1440AD97}">
  <dimension ref="A1:AT1158"/>
  <sheetViews>
    <sheetView workbookViewId="0">
      <pane xSplit="1" ySplit="1" topLeftCell="AL2" activePane="bottomRight" state="frozen"/>
      <selection pane="topRight" activeCell="B1" sqref="B1"/>
      <selection pane="bottomLeft" activeCell="A2" sqref="A2"/>
      <selection pane="bottomRight" activeCell="AL19" sqref="AL19"/>
    </sheetView>
  </sheetViews>
  <sheetFormatPr defaultRowHeight="15" x14ac:dyDescent="0.25"/>
  <cols>
    <col min="1" max="1" width="8.5703125" bestFit="1" customWidth="1"/>
    <col min="2" max="2" width="14.42578125" bestFit="1" customWidth="1"/>
    <col min="3" max="3" width="12.85546875" bestFit="1" customWidth="1"/>
    <col min="4" max="4" width="9.28515625" bestFit="1" customWidth="1"/>
    <col min="5" max="5" width="11.42578125" bestFit="1" customWidth="1"/>
    <col min="6" max="6" width="17.42578125" bestFit="1" customWidth="1"/>
    <col min="7" max="7" width="13" style="7" bestFit="1" customWidth="1"/>
    <col min="8" max="8" width="15.5703125" bestFit="1" customWidth="1"/>
    <col min="9" max="9" width="9" bestFit="1" customWidth="1"/>
    <col min="10" max="10" width="9.5703125" bestFit="1" customWidth="1"/>
    <col min="11" max="11" width="15.5703125" bestFit="1" customWidth="1"/>
    <col min="12" max="12" width="26.5703125" bestFit="1" customWidth="1"/>
    <col min="13" max="13" width="10.7109375" style="2" bestFit="1" customWidth="1"/>
    <col min="14" max="14" width="13.28515625" style="2" bestFit="1" customWidth="1"/>
    <col min="15" max="15" width="17.42578125" style="2" bestFit="1" customWidth="1"/>
    <col min="16" max="16" width="46.7109375" style="2" bestFit="1" customWidth="1"/>
    <col min="17" max="17" width="16.5703125" style="2" bestFit="1" customWidth="1"/>
    <col min="18" max="18" width="13" style="6" bestFit="1" customWidth="1"/>
    <col min="19" max="19" width="17.28515625" style="6" bestFit="1" customWidth="1"/>
    <col min="20" max="20" width="11" style="6" bestFit="1" customWidth="1"/>
    <col min="21" max="21" width="17.5703125" style="6" bestFit="1" customWidth="1"/>
    <col min="22" max="22" width="11.85546875" style="6" bestFit="1" customWidth="1"/>
    <col min="23" max="23" width="11.5703125" style="6" bestFit="1" customWidth="1"/>
    <col min="24" max="24" width="18" style="6" bestFit="1" customWidth="1"/>
    <col min="25" max="25" width="15" style="6" bestFit="1" customWidth="1"/>
    <col min="26" max="28" width="15" style="6" customWidth="1"/>
    <col min="29" max="29" width="18.42578125" style="6" bestFit="1" customWidth="1"/>
    <col min="30" max="30" width="13.28515625" style="6" bestFit="1" customWidth="1"/>
    <col min="31" max="31" width="13.7109375" style="6" bestFit="1" customWidth="1"/>
    <col min="32" max="35" width="46.28515625" style="4" customWidth="1"/>
    <col min="36" max="36" width="46.28515625" style="11" bestFit="1" customWidth="1"/>
    <col min="37" max="37" width="46.28515625" style="11" customWidth="1"/>
    <col min="38" max="38" width="46.28515625" style="10" customWidth="1"/>
    <col min="39" max="39" width="46.28515625" style="11" customWidth="1"/>
    <col min="40" max="40" width="46.28515625" style="6" customWidth="1"/>
    <col min="41" max="43" width="46.28515625" style="11" customWidth="1"/>
    <col min="44" max="44" width="9.28515625" style="4" bestFit="1" customWidth="1"/>
    <col min="45" max="45" width="10.42578125" style="2" bestFit="1" customWidth="1"/>
    <col min="46" max="46" width="17.5703125" style="2" bestFit="1" customWidth="1"/>
    <col min="47" max="47" width="17.5703125" bestFit="1" customWidth="1"/>
    <col min="48" max="48" width="13.5703125" bestFit="1" customWidth="1"/>
    <col min="49" max="49" width="8.28515625" bestFit="1" customWidth="1"/>
    <col min="50" max="50" width="14" bestFit="1" customWidth="1"/>
    <col min="51" max="51" width="11.7109375" bestFit="1" customWidth="1"/>
  </cols>
  <sheetData>
    <row r="1" spans="1:46" x14ac:dyDescent="0.25">
      <c r="A1" t="s">
        <v>26</v>
      </c>
      <c r="B1" t="s">
        <v>25</v>
      </c>
      <c r="C1" t="s">
        <v>4</v>
      </c>
      <c r="D1" t="s">
        <v>29</v>
      </c>
      <c r="E1" t="s">
        <v>24</v>
      </c>
      <c r="F1" t="s">
        <v>0</v>
      </c>
      <c r="G1" s="7" t="s">
        <v>6</v>
      </c>
      <c r="H1" t="s">
        <v>27</v>
      </c>
      <c r="I1" t="s">
        <v>5</v>
      </c>
      <c r="J1" t="s">
        <v>23</v>
      </c>
      <c r="K1" t="s">
        <v>1</v>
      </c>
      <c r="L1" t="s">
        <v>2</v>
      </c>
      <c r="M1" t="s">
        <v>3</v>
      </c>
      <c r="N1" t="s">
        <v>22</v>
      </c>
      <c r="O1" t="s">
        <v>21</v>
      </c>
      <c r="P1" t="s">
        <v>20</v>
      </c>
      <c r="Q1" t="s">
        <v>28</v>
      </c>
      <c r="R1" s="5" t="s">
        <v>19</v>
      </c>
      <c r="S1" s="5" t="s">
        <v>18</v>
      </c>
      <c r="T1" s="5" t="s">
        <v>17</v>
      </c>
      <c r="U1" s="5" t="s">
        <v>16</v>
      </c>
      <c r="V1" s="5" t="s">
        <v>15</v>
      </c>
      <c r="W1" s="5" t="s">
        <v>14</v>
      </c>
      <c r="X1" s="5" t="s">
        <v>13</v>
      </c>
      <c r="Y1" s="5" t="s">
        <v>12</v>
      </c>
      <c r="Z1" s="5" t="s">
        <v>85</v>
      </c>
      <c r="AA1" s="5" t="s">
        <v>86</v>
      </c>
      <c r="AB1" s="5" t="s">
        <v>87</v>
      </c>
      <c r="AC1" s="5" t="s">
        <v>42</v>
      </c>
      <c r="AD1" s="5" t="s">
        <v>11</v>
      </c>
      <c r="AE1" s="5" t="s">
        <v>10</v>
      </c>
      <c r="AF1" t="s">
        <v>9</v>
      </c>
      <c r="AG1" s="5" t="s">
        <v>30</v>
      </c>
      <c r="AH1" s="4" t="s">
        <v>47</v>
      </c>
      <c r="AI1" s="12" t="s">
        <v>61</v>
      </c>
      <c r="AJ1" s="11" t="s">
        <v>60</v>
      </c>
      <c r="AK1" s="14" t="s">
        <v>64</v>
      </c>
      <c r="AL1" s="13" t="s">
        <v>62</v>
      </c>
      <c r="AM1" s="14" t="s">
        <v>63</v>
      </c>
      <c r="AN1" s="5" t="s">
        <v>97</v>
      </c>
      <c r="AP1" s="14"/>
      <c r="AQ1" s="14"/>
    </row>
    <row r="2" spans="1:46" x14ac:dyDescent="0.25">
      <c r="A2" s="1"/>
      <c r="B2" s="1"/>
      <c r="C2" s="1"/>
      <c r="D2" s="1"/>
      <c r="E2" s="1"/>
      <c r="F2" s="1"/>
      <c r="G2" s="8"/>
      <c r="H2" s="1"/>
      <c r="I2" s="1"/>
      <c r="J2" s="1"/>
      <c r="K2" s="1"/>
      <c r="L2" s="1"/>
      <c r="M2" s="3"/>
      <c r="N2" s="3"/>
      <c r="O2" s="3"/>
      <c r="P2" s="3"/>
      <c r="Q2" s="3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4"/>
      <c r="AG2" s="4"/>
      <c r="AJ2" s="11"/>
      <c r="AM2" s="11"/>
      <c r="AN2" s="6"/>
      <c r="AO2"/>
      <c r="AP2"/>
      <c r="AQ2"/>
      <c r="AR2"/>
      <c r="AS2"/>
      <c r="AT2"/>
    </row>
    <row r="3" spans="1:46" x14ac:dyDescent="0.25">
      <c r="A3" s="1"/>
      <c r="B3" s="1"/>
      <c r="C3" s="1"/>
      <c r="D3" s="1"/>
      <c r="E3" s="1"/>
      <c r="F3" s="1"/>
      <c r="G3" s="8"/>
      <c r="H3" s="1"/>
      <c r="I3" s="1"/>
      <c r="J3" s="1"/>
      <c r="K3" s="1"/>
      <c r="L3" s="1"/>
      <c r="M3" s="3"/>
      <c r="N3" s="3"/>
      <c r="O3" s="3"/>
      <c r="P3" s="3"/>
      <c r="Q3" s="3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4"/>
      <c r="AG3" s="4"/>
      <c r="AJ3" s="11"/>
      <c r="AM3" s="11"/>
      <c r="AN3" s="6"/>
      <c r="AO3"/>
      <c r="AP3"/>
      <c r="AQ3"/>
      <c r="AR3"/>
      <c r="AS3"/>
      <c r="AT3"/>
    </row>
    <row r="4" spans="1:46" x14ac:dyDescent="0.25">
      <c r="A4" s="1"/>
      <c r="B4" s="1"/>
      <c r="C4" s="1"/>
      <c r="D4" s="1"/>
      <c r="E4" s="1"/>
      <c r="F4" s="1"/>
      <c r="G4" s="8"/>
      <c r="H4" s="1"/>
      <c r="I4" s="1"/>
      <c r="J4" s="1"/>
      <c r="K4" s="1"/>
      <c r="L4" s="1"/>
      <c r="M4" s="3"/>
      <c r="N4" s="3"/>
      <c r="O4" s="3"/>
      <c r="P4" s="3"/>
      <c r="Q4" s="3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4"/>
      <c r="AG4" s="4"/>
      <c r="AH4" s="4"/>
      <c r="AI4" s="4"/>
      <c r="AJ4" s="11"/>
      <c r="AK4" s="11"/>
      <c r="AL4" s="10"/>
      <c r="AM4" s="11"/>
      <c r="AN4" s="6"/>
      <c r="AO4"/>
      <c r="AP4"/>
      <c r="AQ4"/>
      <c r="AR4"/>
      <c r="AS4"/>
      <c r="AT4"/>
    </row>
    <row r="5" spans="1:46" x14ac:dyDescent="0.25">
      <c r="A5" s="1"/>
      <c r="B5" s="1"/>
      <c r="C5" s="1"/>
      <c r="D5" s="1"/>
      <c r="E5" s="1"/>
      <c r="F5" s="1"/>
      <c r="G5" s="8"/>
      <c r="H5" s="1"/>
      <c r="I5" s="1"/>
      <c r="J5" s="1"/>
      <c r="K5" s="1"/>
      <c r="L5" s="1"/>
      <c r="M5" s="3"/>
      <c r="N5" s="3"/>
      <c r="O5" s="3"/>
      <c r="P5" s="3"/>
      <c r="Q5" s="3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4"/>
      <c r="AG5" s="4"/>
      <c r="AH5" s="4"/>
      <c r="AI5" s="4"/>
      <c r="AJ5" s="11"/>
      <c r="AK5" s="11"/>
      <c r="AL5" s="10"/>
      <c r="AM5" s="11"/>
      <c r="AN5" s="6"/>
      <c r="AO5"/>
      <c r="AP5"/>
      <c r="AQ5"/>
      <c r="AR5"/>
      <c r="AS5"/>
      <c r="AT5"/>
    </row>
    <row r="6" spans="1:46" x14ac:dyDescent="0.25">
      <c r="A6" s="1"/>
      <c r="B6" s="1"/>
      <c r="C6" s="1"/>
      <c r="D6" s="1"/>
      <c r="E6" s="1"/>
      <c r="F6" s="1"/>
      <c r="G6" s="8"/>
      <c r="H6" s="1"/>
      <c r="I6" s="1"/>
      <c r="J6" s="1"/>
      <c r="K6" s="1"/>
      <c r="L6" s="1"/>
      <c r="M6" s="3"/>
      <c r="N6" s="3"/>
      <c r="O6" s="3"/>
      <c r="P6" s="3"/>
      <c r="Q6" s="3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4"/>
      <c r="AG6" s="4"/>
      <c r="AH6" s="4"/>
      <c r="AI6" s="4"/>
      <c r="AJ6" s="11"/>
      <c r="AK6" s="11"/>
      <c r="AL6" s="10"/>
      <c r="AM6" s="11"/>
      <c r="AN6" s="6"/>
      <c r="AO6"/>
      <c r="AP6"/>
      <c r="AQ6"/>
      <c r="AR6"/>
      <c r="AS6"/>
      <c r="AT6"/>
    </row>
    <row r="7" spans="1:46" x14ac:dyDescent="0.25">
      <c r="A7" s="1"/>
      <c r="B7" s="1"/>
      <c r="C7" s="1"/>
      <c r="D7" s="1"/>
      <c r="E7" s="1"/>
      <c r="F7" s="1"/>
      <c r="G7" s="8"/>
      <c r="H7" s="1"/>
      <c r="I7" s="1"/>
      <c r="J7" s="1"/>
      <c r="K7" s="1"/>
      <c r="L7" s="1"/>
      <c r="M7" s="3"/>
      <c r="N7" s="3"/>
      <c r="O7" s="3"/>
      <c r="P7" s="3"/>
      <c r="Q7" s="3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4"/>
      <c r="AG7" s="4"/>
      <c r="AH7" s="4"/>
      <c r="AI7" s="4"/>
      <c r="AJ7" s="11"/>
      <c r="AK7" s="11"/>
      <c r="AL7" s="10"/>
      <c r="AM7" s="11"/>
      <c r="AN7" s="6"/>
      <c r="AO7"/>
      <c r="AP7"/>
      <c r="AQ7"/>
      <c r="AR7"/>
      <c r="AS7"/>
      <c r="AT7"/>
    </row>
    <row r="8" spans="1:46" x14ac:dyDescent="0.25">
      <c r="A8" s="1"/>
      <c r="B8" s="1"/>
      <c r="C8" s="1"/>
      <c r="D8" s="1"/>
      <c r="E8" s="1"/>
      <c r="F8" s="1"/>
      <c r="G8" s="8"/>
      <c r="H8" s="1"/>
      <c r="I8" s="1"/>
      <c r="J8" s="1"/>
      <c r="K8" s="1"/>
      <c r="L8" s="1"/>
      <c r="M8" s="3"/>
      <c r="N8" s="3"/>
      <c r="O8" s="3"/>
      <c r="P8" s="3"/>
      <c r="Q8" s="3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4"/>
      <c r="AG8" s="4"/>
      <c r="AJ8" s="11"/>
      <c r="AM8" s="11"/>
      <c r="AN8" s="6"/>
      <c r="AO8"/>
      <c r="AP8"/>
      <c r="AQ8"/>
      <c r="AR8"/>
      <c r="AS8"/>
      <c r="AT8"/>
    </row>
    <row r="9" spans="1:46" x14ac:dyDescent="0.25">
      <c r="A9" s="1"/>
      <c r="B9" s="1"/>
      <c r="C9" s="1"/>
      <c r="D9" s="1"/>
      <c r="E9" s="1"/>
      <c r="F9" s="1"/>
      <c r="G9" s="8"/>
      <c r="H9" s="1"/>
      <c r="I9" s="1"/>
      <c r="J9" s="1"/>
      <c r="K9" s="1"/>
      <c r="L9" s="1"/>
      <c r="M9" s="3"/>
      <c r="N9" s="3"/>
      <c r="O9" s="3"/>
      <c r="P9" s="3"/>
      <c r="Q9" s="3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4"/>
      <c r="AG9" s="4"/>
      <c r="AJ9" s="11"/>
      <c r="AM9" s="11"/>
      <c r="AN9" s="6"/>
      <c r="AO9"/>
      <c r="AP9"/>
      <c r="AQ9"/>
      <c r="AR9"/>
      <c r="AS9"/>
      <c r="AT9"/>
    </row>
    <row r="10" spans="1:46" x14ac:dyDescent="0.25">
      <c r="A10" s="1"/>
      <c r="B10" s="1"/>
      <c r="C10" s="1"/>
      <c r="D10" s="1"/>
      <c r="E10" s="1"/>
      <c r="F10" s="1"/>
      <c r="G10" s="8"/>
      <c r="H10" s="1"/>
      <c r="I10" s="1"/>
      <c r="J10" s="1"/>
      <c r="K10" s="1"/>
      <c r="L10" s="1"/>
      <c r="M10" s="3"/>
      <c r="N10" s="3"/>
      <c r="O10" s="3"/>
      <c r="P10" s="3"/>
      <c r="Q10" s="3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4"/>
      <c r="AG10" s="4"/>
      <c r="AJ10" s="11"/>
      <c r="AM10" s="11"/>
      <c r="AN10" s="6"/>
      <c r="AO10"/>
      <c r="AP10"/>
      <c r="AQ10"/>
      <c r="AR10"/>
      <c r="AS10"/>
      <c r="AT10"/>
    </row>
    <row r="11" spans="1:46" x14ac:dyDescent="0.25">
      <c r="A11" s="1"/>
      <c r="B11" s="1"/>
      <c r="C11" s="1"/>
      <c r="D11" s="1"/>
      <c r="E11" s="1"/>
      <c r="F11" s="1"/>
      <c r="G11" s="8"/>
      <c r="H11" s="1"/>
      <c r="I11" s="1"/>
      <c r="J11" s="1"/>
      <c r="K11" s="1"/>
      <c r="L11" s="1"/>
      <c r="M11" s="3"/>
      <c r="N11" s="3"/>
      <c r="O11" s="3"/>
      <c r="P11" s="3"/>
      <c r="Q11" s="3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4"/>
      <c r="AG11" s="4"/>
      <c r="AJ11" s="11"/>
      <c r="AM11" s="11"/>
      <c r="AN11" s="6"/>
      <c r="AO11"/>
      <c r="AP11"/>
      <c r="AQ11"/>
      <c r="AR11"/>
      <c r="AS11"/>
      <c r="AT11"/>
    </row>
    <row r="12" spans="1:46" x14ac:dyDescent="0.25">
      <c r="A12" s="1"/>
      <c r="B12" s="1"/>
      <c r="C12" s="1"/>
      <c r="D12" s="1"/>
      <c r="E12" s="1"/>
      <c r="F12" s="1"/>
      <c r="G12" s="8"/>
      <c r="H12" s="1"/>
      <c r="I12" s="1"/>
      <c r="J12" s="1"/>
      <c r="K12" s="1"/>
      <c r="L12" s="1"/>
      <c r="M12" s="3"/>
      <c r="N12" s="3"/>
      <c r="O12" s="3"/>
      <c r="P12" s="3"/>
      <c r="Q12" s="3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4"/>
      <c r="AG12" s="4"/>
      <c r="AJ12" s="11"/>
      <c r="AM12" s="11"/>
      <c r="AN12" s="6"/>
      <c r="AO12"/>
      <c r="AP12"/>
      <c r="AQ12"/>
      <c r="AR12"/>
      <c r="AS12"/>
      <c r="AT12"/>
    </row>
    <row r="13" spans="1:46" x14ac:dyDescent="0.25">
      <c r="A13" s="1"/>
      <c r="B13" s="1"/>
      <c r="C13" s="1"/>
      <c r="D13" s="1"/>
      <c r="E13" s="1"/>
      <c r="F13" s="1"/>
      <c r="G13" s="8"/>
      <c r="H13" s="1"/>
      <c r="I13" s="1"/>
      <c r="J13" s="1"/>
      <c r="K13" s="1"/>
      <c r="L13" s="1"/>
      <c r="M13" s="3"/>
      <c r="N13" s="3"/>
      <c r="O13" s="3"/>
      <c r="P13" s="3"/>
      <c r="Q13" s="3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4"/>
      <c r="AG13" s="4"/>
      <c r="AJ13" s="11"/>
      <c r="AM13" s="11"/>
      <c r="AN13" s="6"/>
      <c r="AO13"/>
      <c r="AP13"/>
      <c r="AQ13"/>
      <c r="AR13"/>
      <c r="AS13"/>
      <c r="AT13"/>
    </row>
    <row r="14" spans="1:46" x14ac:dyDescent="0.25">
      <c r="A14" s="1"/>
      <c r="B14" s="1"/>
      <c r="C14" s="1"/>
      <c r="D14" s="1"/>
      <c r="E14" s="1"/>
      <c r="F14" s="1"/>
      <c r="G14" s="8"/>
      <c r="H14" s="1"/>
      <c r="I14" s="1"/>
      <c r="J14" s="1"/>
      <c r="K14" s="1"/>
      <c r="L14" s="1"/>
      <c r="M14" s="3"/>
      <c r="N14" s="3"/>
      <c r="O14" s="3"/>
      <c r="P14" s="3"/>
      <c r="Q14" s="3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4"/>
      <c r="AG14" s="4"/>
      <c r="AJ14" s="11"/>
      <c r="AM14" s="11"/>
      <c r="AN14" s="6"/>
      <c r="AO14"/>
      <c r="AP14"/>
      <c r="AQ14"/>
      <c r="AR14"/>
      <c r="AS14"/>
      <c r="AT14"/>
    </row>
    <row r="15" spans="1:46" x14ac:dyDescent="0.25">
      <c r="A15" s="1"/>
      <c r="B15" s="1"/>
      <c r="C15" s="1"/>
      <c r="D15" s="1"/>
      <c r="E15" s="1"/>
      <c r="F15" s="1"/>
      <c r="G15" s="8"/>
      <c r="H15" s="1"/>
      <c r="I15" s="1"/>
      <c r="J15" s="1"/>
      <c r="K15" s="1"/>
      <c r="L15" s="1"/>
      <c r="M15" s="3"/>
      <c r="N15" s="3"/>
      <c r="O15" s="3"/>
      <c r="P15" s="3"/>
      <c r="Q15" s="3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4"/>
      <c r="AG15" s="4"/>
      <c r="AJ15" s="11"/>
      <c r="AM15" s="11"/>
      <c r="AN15" s="6"/>
      <c r="AO15"/>
      <c r="AP15"/>
      <c r="AQ15"/>
      <c r="AR15"/>
      <c r="AS15"/>
      <c r="AT15"/>
    </row>
    <row r="16" spans="1:46" x14ac:dyDescent="0.25">
      <c r="A16" s="1"/>
      <c r="B16" s="1"/>
      <c r="C16" s="1"/>
      <c r="D16" s="1"/>
      <c r="E16" s="1"/>
      <c r="F16" s="1"/>
      <c r="G16" s="8"/>
      <c r="H16" s="1"/>
      <c r="I16" s="1"/>
      <c r="J16" s="1"/>
      <c r="K16" s="1"/>
      <c r="L16" s="1"/>
      <c r="M16" s="3"/>
      <c r="N16" s="3"/>
      <c r="O16" s="3"/>
      <c r="P16" s="3"/>
      <c r="Q16" s="3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4"/>
      <c r="AG16" s="4"/>
      <c r="AJ16" s="11"/>
      <c r="AM16" s="11"/>
      <c r="AN16" s="6"/>
      <c r="AO16"/>
      <c r="AP16"/>
      <c r="AQ16"/>
      <c r="AR16"/>
      <c r="AS16"/>
      <c r="AT16"/>
    </row>
    <row r="17" spans="1:46" x14ac:dyDescent="0.25">
      <c r="A17" s="1"/>
      <c r="B17" s="1"/>
      <c r="C17" s="1"/>
      <c r="D17" s="1"/>
      <c r="E17" s="1"/>
      <c r="F17" s="1"/>
      <c r="G17" s="8"/>
      <c r="H17" s="1"/>
      <c r="I17" s="1"/>
      <c r="J17" s="1"/>
      <c r="K17" s="1"/>
      <c r="L17" s="1"/>
      <c r="M17" s="3"/>
      <c r="N17" s="3"/>
      <c r="O17" s="3"/>
      <c r="P17" s="3"/>
      <c r="Q17" s="3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4"/>
      <c r="AG17" s="4"/>
      <c r="AJ17" s="11"/>
      <c r="AM17" s="11"/>
      <c r="AN17" s="6"/>
      <c r="AO17"/>
      <c r="AP17"/>
      <c r="AQ17"/>
      <c r="AR17"/>
      <c r="AS17"/>
      <c r="AT17"/>
    </row>
    <row r="18" spans="1:46" x14ac:dyDescent="0.25">
      <c r="A18" s="1"/>
      <c r="B18" s="1"/>
      <c r="C18" s="1"/>
      <c r="D18" s="1"/>
      <c r="E18" s="1"/>
      <c r="F18" s="1"/>
      <c r="G18" s="8"/>
      <c r="H18" s="1"/>
      <c r="I18" s="1"/>
      <c r="J18" s="1"/>
      <c r="K18" s="1"/>
      <c r="L18" s="1"/>
      <c r="M18" s="3"/>
      <c r="N18" s="3"/>
      <c r="O18" s="3"/>
      <c r="P18" s="3"/>
      <c r="Q18" s="3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4"/>
      <c r="AG18" s="4"/>
      <c r="AJ18" s="11"/>
      <c r="AM18" s="11"/>
      <c r="AN18" s="6"/>
      <c r="AO18"/>
      <c r="AP18"/>
      <c r="AQ18"/>
      <c r="AR18"/>
      <c r="AS18"/>
      <c r="AT18"/>
    </row>
    <row r="19" spans="1:46" x14ac:dyDescent="0.25">
      <c r="A19" s="1"/>
      <c r="B19" s="1"/>
      <c r="C19" s="1"/>
      <c r="D19" s="1"/>
      <c r="E19" s="1"/>
      <c r="F19" s="1"/>
      <c r="G19" s="8"/>
      <c r="H19" s="1"/>
      <c r="I19" s="1"/>
      <c r="J19" s="1"/>
      <c r="K19" s="1"/>
      <c r="L19" s="1"/>
      <c r="M19" s="3"/>
      <c r="N19" s="3"/>
      <c r="O19" s="3"/>
      <c r="P19" s="3"/>
      <c r="Q19" s="3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4"/>
      <c r="AG19" s="4"/>
      <c r="AJ19" s="11"/>
      <c r="AM19" s="11"/>
      <c r="AN19" s="6"/>
      <c r="AO19"/>
      <c r="AP19"/>
      <c r="AQ19"/>
      <c r="AR19"/>
      <c r="AS19"/>
      <c r="AT19"/>
    </row>
    <row r="20" spans="1:46" x14ac:dyDescent="0.25">
      <c r="A20" s="1"/>
      <c r="B20" s="1"/>
      <c r="C20" s="1"/>
      <c r="D20" s="1"/>
      <c r="E20" s="1"/>
      <c r="F20" s="1"/>
      <c r="G20" s="8"/>
      <c r="H20" s="1"/>
      <c r="I20" s="1"/>
      <c r="J20" s="1"/>
      <c r="K20" s="1"/>
      <c r="L20" s="1"/>
      <c r="M20" s="3"/>
      <c r="N20" s="3"/>
      <c r="O20" s="3"/>
      <c r="P20" s="3"/>
      <c r="Q20" s="3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4"/>
      <c r="AG20" s="4"/>
      <c r="AJ20" s="11"/>
      <c r="AM20" s="11"/>
      <c r="AN20" s="6"/>
      <c r="AO20"/>
      <c r="AP20"/>
      <c r="AQ20"/>
      <c r="AR20"/>
      <c r="AS20"/>
      <c r="AT20"/>
    </row>
    <row r="21" spans="1:46" x14ac:dyDescent="0.25">
      <c r="A21" s="1"/>
      <c r="B21" s="1"/>
      <c r="C21" s="1"/>
      <c r="D21" s="1"/>
      <c r="E21" s="1"/>
      <c r="F21" s="1"/>
      <c r="G21" s="8"/>
      <c r="H21" s="1"/>
      <c r="I21" s="1"/>
      <c r="J21" s="1"/>
      <c r="K21" s="1"/>
      <c r="L21" s="1"/>
      <c r="M21" s="3"/>
      <c r="N21" s="3"/>
      <c r="O21" s="3"/>
      <c r="P21" s="3"/>
      <c r="Q21" s="3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4"/>
      <c r="AG21" s="4"/>
      <c r="AJ21" s="11"/>
      <c r="AM21" s="11"/>
      <c r="AN21" s="6"/>
      <c r="AO21"/>
      <c r="AP21"/>
      <c r="AQ21"/>
      <c r="AR21"/>
      <c r="AS21"/>
      <c r="AT21"/>
    </row>
    <row r="22" spans="1:46" x14ac:dyDescent="0.25">
      <c r="A22" s="1"/>
      <c r="B22" s="1"/>
      <c r="C22" s="1"/>
      <c r="D22" s="1"/>
      <c r="E22" s="1"/>
      <c r="F22" s="1"/>
      <c r="G22" s="8"/>
      <c r="H22" s="1"/>
      <c r="I22" s="1"/>
      <c r="J22" s="1"/>
      <c r="K22" s="1"/>
      <c r="L22" s="1"/>
      <c r="M22" s="3"/>
      <c r="N22" s="3"/>
      <c r="O22" s="3"/>
      <c r="P22" s="3"/>
      <c r="Q22" s="3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4"/>
      <c r="AG22" s="4"/>
      <c r="AJ22" s="11"/>
      <c r="AM22" s="11"/>
      <c r="AN22" s="6"/>
      <c r="AO22"/>
      <c r="AP22"/>
      <c r="AQ22"/>
      <c r="AR22"/>
      <c r="AS22"/>
      <c r="AT22"/>
    </row>
    <row r="23" spans="1:46" x14ac:dyDescent="0.25">
      <c r="A23" s="1"/>
      <c r="B23" s="1"/>
      <c r="C23" s="1"/>
      <c r="D23" s="1"/>
      <c r="E23" s="1"/>
      <c r="F23" s="1"/>
      <c r="G23" s="8"/>
      <c r="H23" s="1"/>
      <c r="I23" s="1"/>
      <c r="J23" s="1"/>
      <c r="K23" s="1"/>
      <c r="L23" s="1"/>
      <c r="M23" s="3"/>
      <c r="N23" s="3"/>
      <c r="O23" s="3"/>
      <c r="P23" s="3"/>
      <c r="Q23" s="3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4"/>
      <c r="AG23" s="4"/>
      <c r="AJ23" s="11"/>
      <c r="AM23" s="11"/>
      <c r="AN23" s="6"/>
      <c r="AO23"/>
      <c r="AP23"/>
      <c r="AQ23"/>
      <c r="AR23"/>
      <c r="AS23"/>
      <c r="AT23"/>
    </row>
    <row r="24" spans="1:46" x14ac:dyDescent="0.25">
      <c r="A24" s="1"/>
      <c r="B24" s="1"/>
      <c r="C24" s="1"/>
      <c r="D24" s="1"/>
      <c r="E24" s="1"/>
      <c r="F24" s="1"/>
      <c r="G24" s="8"/>
      <c r="H24" s="1"/>
      <c r="I24" s="1"/>
      <c r="J24" s="1"/>
      <c r="K24" s="1"/>
      <c r="L24" s="1"/>
      <c r="M24" s="3"/>
      <c r="N24" s="3"/>
      <c r="O24" s="3"/>
      <c r="P24" s="3"/>
      <c r="Q24" s="3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4"/>
      <c r="AG24" s="4"/>
      <c r="AJ24" s="11"/>
      <c r="AM24" s="11"/>
      <c r="AN24" s="6"/>
      <c r="AO24"/>
      <c r="AP24"/>
      <c r="AQ24"/>
      <c r="AR24"/>
      <c r="AS24"/>
      <c r="AT24"/>
    </row>
    <row r="25" spans="1:46" x14ac:dyDescent="0.25">
      <c r="A25" s="1"/>
      <c r="B25" s="1"/>
      <c r="C25" s="1"/>
      <c r="D25" s="1"/>
      <c r="E25" s="1"/>
      <c r="F25" s="1"/>
      <c r="G25" s="8"/>
      <c r="H25" s="1"/>
      <c r="I25" s="1"/>
      <c r="J25" s="1"/>
      <c r="K25" s="1"/>
      <c r="L25" s="1"/>
      <c r="M25" s="3"/>
      <c r="N25" s="3"/>
      <c r="O25" s="3"/>
      <c r="P25" s="3"/>
      <c r="Q25" s="3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4"/>
      <c r="AG25" s="4"/>
      <c r="AJ25" s="11"/>
      <c r="AM25" s="11"/>
      <c r="AN25" s="6"/>
      <c r="AO25"/>
      <c r="AP25"/>
      <c r="AQ25"/>
      <c r="AR25"/>
      <c r="AS25"/>
      <c r="AT25"/>
    </row>
    <row r="26" spans="1:46" x14ac:dyDescent="0.25">
      <c r="A26" s="1"/>
      <c r="B26" s="1"/>
      <c r="C26" s="1"/>
      <c r="D26" s="1"/>
      <c r="E26" s="1"/>
      <c r="F26" s="1"/>
      <c r="G26" s="8"/>
      <c r="H26" s="1"/>
      <c r="I26" s="1"/>
      <c r="J26" s="1"/>
      <c r="K26" s="1"/>
      <c r="L26" s="1"/>
      <c r="M26" s="3"/>
      <c r="N26" s="3"/>
      <c r="O26" s="3"/>
      <c r="P26" s="3"/>
      <c r="Q26" s="3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4"/>
      <c r="AG26" s="4"/>
      <c r="AJ26" s="11"/>
      <c r="AM26" s="11"/>
      <c r="AN26" s="6"/>
      <c r="AO26"/>
      <c r="AP26"/>
      <c r="AQ26"/>
      <c r="AR26"/>
      <c r="AS26"/>
      <c r="AT26"/>
    </row>
    <row r="27" spans="1:46" x14ac:dyDescent="0.25">
      <c r="A27" s="1"/>
      <c r="B27" s="1"/>
      <c r="C27" s="1"/>
      <c r="D27" s="1"/>
      <c r="E27" s="1"/>
      <c r="F27" s="1"/>
      <c r="G27" s="8"/>
      <c r="H27" s="1"/>
      <c r="I27" s="1"/>
      <c r="J27" s="1"/>
      <c r="K27" s="1"/>
      <c r="L27" s="1"/>
      <c r="M27" s="3"/>
      <c r="N27" s="3"/>
      <c r="O27" s="3"/>
      <c r="P27" s="3"/>
      <c r="Q27" s="3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4"/>
      <c r="AG27" s="4"/>
      <c r="AJ27" s="11"/>
      <c r="AM27" s="11"/>
      <c r="AN27" s="6"/>
      <c r="AO27"/>
      <c r="AP27"/>
      <c r="AQ27"/>
      <c r="AR27"/>
      <c r="AS27"/>
      <c r="AT27"/>
    </row>
    <row r="28" spans="1:46" x14ac:dyDescent="0.25">
      <c r="A28" s="1"/>
      <c r="B28" s="1"/>
      <c r="C28" s="1"/>
      <c r="D28" s="1"/>
      <c r="E28" s="1"/>
      <c r="F28" s="1"/>
      <c r="G28" s="8"/>
      <c r="H28" s="1"/>
      <c r="I28" s="1"/>
      <c r="J28" s="1"/>
      <c r="K28" s="1"/>
      <c r="L28" s="1"/>
      <c r="M28" s="3"/>
      <c r="N28" s="3"/>
      <c r="O28" s="3"/>
      <c r="P28" s="3"/>
      <c r="Q28" s="3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4"/>
      <c r="AG28" s="4"/>
      <c r="AJ28" s="11"/>
      <c r="AM28" s="11"/>
      <c r="AN28" s="6"/>
      <c r="AO28"/>
      <c r="AP28"/>
      <c r="AQ28"/>
      <c r="AR28"/>
      <c r="AS28"/>
      <c r="AT28"/>
    </row>
    <row r="29" spans="1:46" x14ac:dyDescent="0.25">
      <c r="A29" s="1"/>
      <c r="B29" s="1"/>
      <c r="C29" s="1"/>
      <c r="D29" s="1"/>
      <c r="E29" s="1"/>
      <c r="F29" s="1"/>
      <c r="G29" s="8"/>
      <c r="H29" s="1"/>
      <c r="I29" s="1"/>
      <c r="J29" s="1"/>
      <c r="K29" s="1"/>
      <c r="L29" s="1"/>
      <c r="M29" s="3"/>
      <c r="N29" s="3"/>
      <c r="O29" s="3"/>
      <c r="P29" s="3"/>
      <c r="Q29" s="3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4"/>
      <c r="AG29" s="4"/>
      <c r="AJ29" s="11"/>
      <c r="AM29" s="11"/>
      <c r="AN29" s="6"/>
      <c r="AO29"/>
      <c r="AP29"/>
      <c r="AQ29"/>
      <c r="AR29"/>
      <c r="AS29"/>
      <c r="AT29"/>
    </row>
    <row r="30" spans="1:46" x14ac:dyDescent="0.25">
      <c r="A30" s="1"/>
      <c r="B30" s="1"/>
      <c r="C30" s="1"/>
      <c r="D30" s="1"/>
      <c r="E30" s="1"/>
      <c r="F30" s="1"/>
      <c r="G30" s="8"/>
      <c r="H30" s="1"/>
      <c r="I30" s="1"/>
      <c r="J30" s="1"/>
      <c r="K30" s="1"/>
      <c r="L30" s="1"/>
      <c r="M30" s="3"/>
      <c r="N30" s="3"/>
      <c r="O30" s="3"/>
      <c r="P30" s="3"/>
      <c r="Q30" s="3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4"/>
      <c r="AG30" s="4"/>
      <c r="AJ30" s="11"/>
      <c r="AM30" s="11"/>
      <c r="AN30" s="6"/>
      <c r="AO30"/>
      <c r="AP30"/>
      <c r="AQ30"/>
      <c r="AR30"/>
      <c r="AS30"/>
      <c r="AT30"/>
    </row>
    <row r="31" spans="1:46" x14ac:dyDescent="0.25">
      <c r="A31" s="1"/>
      <c r="B31" s="1"/>
      <c r="C31" s="1"/>
      <c r="D31" s="1"/>
      <c r="E31" s="1"/>
      <c r="F31" s="1"/>
      <c r="G31" s="8"/>
      <c r="H31" s="1"/>
      <c r="I31" s="1"/>
      <c r="J31" s="1"/>
      <c r="K31" s="1"/>
      <c r="L31" s="1"/>
      <c r="M31" s="3"/>
      <c r="N31" s="3"/>
      <c r="O31" s="3"/>
      <c r="P31" s="3"/>
      <c r="Q31" s="3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4"/>
      <c r="AG31" s="4"/>
      <c r="AJ31" s="11"/>
      <c r="AM31" s="11"/>
      <c r="AN31" s="6"/>
      <c r="AO31"/>
      <c r="AP31"/>
      <c r="AQ31"/>
      <c r="AR31"/>
      <c r="AS31"/>
      <c r="AT31"/>
    </row>
    <row r="32" spans="1:46" x14ac:dyDescent="0.25">
      <c r="A32" s="1"/>
      <c r="B32" s="1"/>
      <c r="C32" s="1"/>
      <c r="D32" s="1"/>
      <c r="E32" s="1"/>
      <c r="F32" s="1"/>
      <c r="G32" s="8"/>
      <c r="H32" s="1"/>
      <c r="I32" s="1"/>
      <c r="J32" s="1"/>
      <c r="K32" s="1"/>
      <c r="L32" s="1"/>
      <c r="M32" s="3"/>
      <c r="N32" s="3"/>
      <c r="O32" s="3"/>
      <c r="P32" s="3"/>
      <c r="Q32" s="3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4"/>
      <c r="AG32" s="4"/>
      <c r="AJ32" s="11"/>
      <c r="AM32" s="11"/>
      <c r="AN32" s="6"/>
      <c r="AO32"/>
      <c r="AP32"/>
      <c r="AQ32"/>
      <c r="AR32"/>
      <c r="AS32"/>
      <c r="AT32"/>
    </row>
    <row r="33" spans="1:46" x14ac:dyDescent="0.25">
      <c r="A33" s="1"/>
      <c r="B33" s="1"/>
      <c r="C33" s="1"/>
      <c r="D33" s="1"/>
      <c r="E33" s="1"/>
      <c r="F33" s="1"/>
      <c r="G33" s="8"/>
      <c r="H33" s="1"/>
      <c r="I33" s="1"/>
      <c r="J33" s="1"/>
      <c r="K33" s="1"/>
      <c r="L33" s="1"/>
      <c r="M33" s="3"/>
      <c r="N33" s="3"/>
      <c r="O33" s="3"/>
      <c r="P33" s="3"/>
      <c r="Q33" s="3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4"/>
      <c r="AG33" s="4"/>
      <c r="AJ33" s="11"/>
      <c r="AM33" s="11"/>
      <c r="AN33" s="6"/>
      <c r="AO33"/>
      <c r="AP33"/>
      <c r="AQ33"/>
      <c r="AR33"/>
      <c r="AS33"/>
      <c r="AT33"/>
    </row>
    <row r="34" spans="1:46" x14ac:dyDescent="0.25">
      <c r="A34" s="1"/>
      <c r="B34" s="1"/>
      <c r="C34" s="1"/>
      <c r="D34" s="1"/>
      <c r="E34" s="1"/>
      <c r="F34" s="1"/>
      <c r="G34" s="8"/>
      <c r="H34" s="1"/>
      <c r="I34" s="1"/>
      <c r="J34" s="1"/>
      <c r="K34" s="1"/>
      <c r="L34" s="1"/>
      <c r="M34" s="3"/>
      <c r="N34" s="3"/>
      <c r="O34" s="3"/>
      <c r="P34" s="3"/>
      <c r="Q34" s="3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4"/>
      <c r="AG34" s="4"/>
      <c r="AJ34" s="11"/>
      <c r="AM34" s="11"/>
      <c r="AN34" s="6"/>
      <c r="AO34"/>
      <c r="AP34"/>
      <c r="AQ34"/>
      <c r="AR34"/>
      <c r="AS34"/>
      <c r="AT34"/>
    </row>
    <row r="35" spans="1:46" x14ac:dyDescent="0.25">
      <c r="A35" s="1"/>
      <c r="B35" s="1"/>
      <c r="C35" s="1"/>
      <c r="D35" s="1"/>
      <c r="E35" s="1"/>
      <c r="F35" s="1"/>
      <c r="G35" s="8"/>
      <c r="H35" s="1"/>
      <c r="I35" s="1"/>
      <c r="J35" s="1"/>
      <c r="K35" s="1"/>
      <c r="L35" s="1"/>
      <c r="M35" s="3"/>
      <c r="N35" s="3"/>
      <c r="O35" s="3"/>
      <c r="P35" s="3"/>
      <c r="Q35" s="3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4"/>
      <c r="AG35" s="4"/>
      <c r="AH35" s="4"/>
      <c r="AI35" s="4"/>
      <c r="AJ35" s="11"/>
      <c r="AK35" s="11"/>
      <c r="AL35" s="10"/>
      <c r="AM35" s="11"/>
      <c r="AN35" s="6"/>
      <c r="AO35"/>
      <c r="AP35"/>
      <c r="AQ35"/>
      <c r="AR35"/>
      <c r="AS35"/>
      <c r="AT35"/>
    </row>
    <row r="36" spans="1:46" x14ac:dyDescent="0.25">
      <c r="A36" s="1"/>
      <c r="B36" s="1"/>
      <c r="C36" s="1"/>
      <c r="D36" s="1"/>
      <c r="E36" s="1"/>
      <c r="F36" s="1"/>
      <c r="G36" s="8"/>
      <c r="H36" s="1"/>
      <c r="I36" s="1"/>
      <c r="J36" s="1"/>
      <c r="K36" s="1"/>
      <c r="L36" s="1"/>
      <c r="M36" s="3"/>
      <c r="N36" s="3"/>
      <c r="O36" s="3"/>
      <c r="P36" s="3"/>
      <c r="Q36" s="3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4"/>
      <c r="AG36" s="4"/>
      <c r="AH36" s="4"/>
      <c r="AI36" s="4"/>
      <c r="AJ36" s="11"/>
      <c r="AK36" s="11"/>
      <c r="AL36" s="10"/>
      <c r="AM36" s="11"/>
      <c r="AN36" s="6"/>
      <c r="AO36"/>
      <c r="AP36"/>
      <c r="AQ36"/>
      <c r="AR36"/>
      <c r="AS36"/>
      <c r="AT36"/>
    </row>
    <row r="37" spans="1:46" x14ac:dyDescent="0.25">
      <c r="A37" s="1"/>
      <c r="B37" s="1"/>
      <c r="C37" s="1"/>
      <c r="D37" s="1"/>
      <c r="E37" s="1"/>
      <c r="F37" s="1"/>
      <c r="G37" s="8"/>
      <c r="H37" s="1"/>
      <c r="I37" s="1"/>
      <c r="J37" s="1"/>
      <c r="K37" s="1"/>
      <c r="L37" s="1"/>
      <c r="M37" s="3"/>
      <c r="N37" s="3"/>
      <c r="O37" s="3"/>
      <c r="P37" s="3"/>
      <c r="Q37" s="3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4"/>
      <c r="AG37" s="4"/>
      <c r="AH37" s="4"/>
      <c r="AI37" s="4"/>
      <c r="AJ37" s="11"/>
      <c r="AK37" s="11"/>
      <c r="AL37" s="10"/>
      <c r="AM37" s="11"/>
      <c r="AN37" s="6"/>
      <c r="AO37"/>
      <c r="AP37"/>
      <c r="AQ37"/>
      <c r="AR37"/>
      <c r="AS37"/>
      <c r="AT37"/>
    </row>
    <row r="38" spans="1:46" x14ac:dyDescent="0.25">
      <c r="A38" s="1"/>
      <c r="B38" s="1"/>
      <c r="C38" s="1"/>
      <c r="D38" s="1"/>
      <c r="E38" s="1"/>
      <c r="F38" s="1"/>
      <c r="G38" s="8"/>
      <c r="H38" s="1"/>
      <c r="I38" s="1"/>
      <c r="J38" s="1"/>
      <c r="K38" s="1"/>
      <c r="L38" s="1"/>
      <c r="M38" s="3"/>
      <c r="N38" s="3"/>
      <c r="O38" s="3"/>
      <c r="P38" s="3"/>
      <c r="Q38" s="3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4"/>
      <c r="AG38" s="4"/>
      <c r="AH38" s="4"/>
      <c r="AI38" s="4"/>
      <c r="AJ38" s="11"/>
      <c r="AK38" s="11"/>
      <c r="AL38" s="10"/>
      <c r="AM38" s="11"/>
      <c r="AN38" s="6"/>
      <c r="AO38"/>
      <c r="AP38"/>
      <c r="AQ38"/>
      <c r="AR38"/>
      <c r="AS38"/>
      <c r="AT38"/>
    </row>
    <row r="39" spans="1:46" x14ac:dyDescent="0.25">
      <c r="A39" s="1"/>
      <c r="B39" s="1"/>
      <c r="C39" s="1"/>
      <c r="D39" s="1"/>
      <c r="E39" s="1"/>
      <c r="F39" s="1"/>
      <c r="G39" s="8"/>
      <c r="H39" s="1"/>
      <c r="I39" s="1"/>
      <c r="J39" s="1"/>
      <c r="K39" s="1"/>
      <c r="L39" s="1"/>
      <c r="M39" s="3"/>
      <c r="N39" s="3"/>
      <c r="O39" s="3"/>
      <c r="P39" s="3"/>
      <c r="Q39" s="3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4"/>
      <c r="AG39" s="4"/>
      <c r="AH39" s="4"/>
      <c r="AI39" s="4"/>
      <c r="AJ39" s="11"/>
      <c r="AK39" s="11"/>
      <c r="AL39" s="10"/>
      <c r="AM39" s="11"/>
      <c r="AN39" s="6"/>
      <c r="AO39"/>
      <c r="AP39"/>
      <c r="AQ39"/>
      <c r="AR39"/>
      <c r="AS39"/>
      <c r="AT39"/>
    </row>
    <row r="40" spans="1:46" x14ac:dyDescent="0.25">
      <c r="A40" s="1"/>
      <c r="B40" s="1"/>
      <c r="C40" s="1"/>
      <c r="D40" s="1"/>
      <c r="E40" s="1"/>
      <c r="F40" s="1"/>
      <c r="G40" s="8"/>
      <c r="H40" s="1"/>
      <c r="I40" s="1"/>
      <c r="J40" s="1"/>
      <c r="K40" s="1"/>
      <c r="L40" s="1"/>
      <c r="M40" s="3"/>
      <c r="N40" s="3"/>
      <c r="O40" s="3"/>
      <c r="P40" s="3"/>
      <c r="Q40" s="3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4"/>
      <c r="AG40" s="4"/>
      <c r="AH40" s="4"/>
      <c r="AI40" s="4"/>
      <c r="AJ40" s="11"/>
      <c r="AK40" s="11"/>
      <c r="AL40" s="10"/>
      <c r="AM40" s="11"/>
      <c r="AN40" s="6"/>
      <c r="AO40"/>
      <c r="AP40"/>
      <c r="AQ40"/>
      <c r="AR40"/>
      <c r="AS40"/>
      <c r="AT40"/>
    </row>
    <row r="41" spans="1:46" x14ac:dyDescent="0.25">
      <c r="A41" s="1"/>
      <c r="B41" s="1"/>
      <c r="C41" s="1"/>
      <c r="D41" s="1"/>
      <c r="E41" s="1"/>
      <c r="F41" s="1"/>
      <c r="G41" s="8"/>
      <c r="H41" s="1"/>
      <c r="I41" s="1"/>
      <c r="J41" s="1"/>
      <c r="K41" s="1"/>
      <c r="L41" s="1"/>
      <c r="M41" s="3"/>
      <c r="N41" s="3"/>
      <c r="O41" s="3"/>
      <c r="P41" s="3"/>
      <c r="Q41" s="3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4"/>
      <c r="AG41" s="4"/>
      <c r="AJ41" s="11"/>
      <c r="AM41" s="11"/>
      <c r="AN41" s="6"/>
      <c r="AO41"/>
      <c r="AP41"/>
      <c r="AQ41"/>
      <c r="AR41"/>
      <c r="AS41"/>
      <c r="AT41"/>
    </row>
    <row r="42" spans="1:46" x14ac:dyDescent="0.25">
      <c r="A42" s="1"/>
      <c r="B42" s="1"/>
      <c r="C42" s="1"/>
      <c r="D42" s="1"/>
      <c r="E42" s="1"/>
      <c r="F42" s="1"/>
      <c r="G42" s="8"/>
      <c r="H42" s="1"/>
      <c r="I42" s="1"/>
      <c r="J42" s="1"/>
      <c r="K42" s="1"/>
      <c r="L42" s="1"/>
      <c r="M42" s="3"/>
      <c r="N42" s="3"/>
      <c r="O42" s="3"/>
      <c r="P42" s="3"/>
      <c r="Q42" s="3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4"/>
      <c r="AG42" s="4"/>
      <c r="AJ42" s="11"/>
      <c r="AM42" s="11"/>
      <c r="AN42" s="6"/>
      <c r="AO42"/>
      <c r="AP42"/>
      <c r="AQ42"/>
      <c r="AR42"/>
      <c r="AS42"/>
      <c r="AT42"/>
    </row>
    <row r="43" spans="1:46" x14ac:dyDescent="0.25">
      <c r="A43" s="1"/>
      <c r="B43" s="1"/>
      <c r="C43" s="1"/>
      <c r="D43" s="1"/>
      <c r="E43" s="1"/>
      <c r="F43" s="1"/>
      <c r="G43" s="8"/>
      <c r="H43" s="1"/>
      <c r="I43" s="1"/>
      <c r="J43" s="1"/>
      <c r="K43" s="1"/>
      <c r="L43" s="1"/>
      <c r="M43" s="3"/>
      <c r="N43" s="3"/>
      <c r="O43" s="3"/>
      <c r="P43" s="3"/>
      <c r="Q43" s="3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4"/>
      <c r="AG43" s="4"/>
      <c r="AJ43" s="11"/>
      <c r="AM43" s="11"/>
      <c r="AN43" s="6"/>
      <c r="AO43"/>
      <c r="AP43"/>
      <c r="AQ43"/>
      <c r="AR43"/>
      <c r="AS43"/>
      <c r="AT43"/>
    </row>
    <row r="44" spans="1:46" x14ac:dyDescent="0.25">
      <c r="A44" s="1"/>
      <c r="B44" s="1"/>
      <c r="C44" s="1"/>
      <c r="D44" s="1"/>
      <c r="E44" s="1"/>
      <c r="F44" s="1"/>
      <c r="G44" s="8"/>
      <c r="H44" s="1"/>
      <c r="I44" s="1"/>
      <c r="J44" s="1"/>
      <c r="K44" s="1"/>
      <c r="L44" s="1"/>
      <c r="M44" s="3"/>
      <c r="N44" s="3"/>
      <c r="O44" s="3"/>
      <c r="P44" s="3"/>
      <c r="Q44" s="3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4"/>
      <c r="AG44" s="4"/>
      <c r="AJ44" s="11"/>
      <c r="AM44" s="11"/>
      <c r="AN44" s="6"/>
      <c r="AO44"/>
      <c r="AP44"/>
      <c r="AQ44"/>
      <c r="AR44"/>
      <c r="AS44"/>
      <c r="AT44"/>
    </row>
    <row r="45" spans="1:46" x14ac:dyDescent="0.25">
      <c r="A45" s="1"/>
      <c r="B45" s="1"/>
      <c r="C45" s="1"/>
      <c r="D45" s="1"/>
      <c r="E45" s="1"/>
      <c r="F45" s="1"/>
      <c r="G45" s="8"/>
      <c r="H45" s="1"/>
      <c r="I45" s="1"/>
      <c r="J45" s="1"/>
      <c r="K45" s="1"/>
      <c r="L45" s="1"/>
      <c r="M45" s="3"/>
      <c r="N45" s="3"/>
      <c r="O45" s="3"/>
      <c r="P45" s="3"/>
      <c r="Q45" s="3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4"/>
      <c r="AG45" s="4"/>
      <c r="AJ45" s="11"/>
      <c r="AM45" s="11"/>
      <c r="AN45" s="6"/>
      <c r="AO45"/>
      <c r="AP45"/>
      <c r="AQ45"/>
      <c r="AR45"/>
      <c r="AS45"/>
      <c r="AT45"/>
    </row>
    <row r="46" spans="1:46" x14ac:dyDescent="0.25">
      <c r="A46" s="1"/>
      <c r="B46" s="1"/>
      <c r="C46" s="1"/>
      <c r="D46" s="1"/>
      <c r="E46" s="1"/>
      <c r="F46" s="1"/>
      <c r="G46" s="8"/>
      <c r="H46" s="1"/>
      <c r="I46" s="1"/>
      <c r="J46" s="1"/>
      <c r="K46" s="1"/>
      <c r="L46" s="1"/>
      <c r="M46" s="3"/>
      <c r="N46" s="3"/>
      <c r="O46" s="3"/>
      <c r="P46" s="3"/>
      <c r="Q46" s="3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4"/>
      <c r="AG46" s="4"/>
      <c r="AJ46" s="11"/>
      <c r="AM46" s="11"/>
      <c r="AN46" s="6"/>
      <c r="AO46"/>
      <c r="AP46"/>
      <c r="AQ46"/>
      <c r="AR46"/>
      <c r="AS46"/>
      <c r="AT46"/>
    </row>
    <row r="47" spans="1:46" x14ac:dyDescent="0.25">
      <c r="A47" s="1"/>
      <c r="B47" s="1"/>
      <c r="C47" s="1"/>
      <c r="D47" s="1"/>
      <c r="E47" s="1"/>
      <c r="F47" s="1"/>
      <c r="G47" s="8"/>
      <c r="H47" s="1"/>
      <c r="I47" s="1"/>
      <c r="J47" s="1"/>
      <c r="K47" s="1"/>
      <c r="L47" s="1"/>
      <c r="M47" s="3"/>
      <c r="N47" s="3"/>
      <c r="O47" s="3"/>
      <c r="P47" s="3"/>
      <c r="Q47" s="3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4"/>
      <c r="AG47" s="4"/>
      <c r="AJ47" s="11"/>
      <c r="AM47" s="11"/>
      <c r="AN47" s="6"/>
      <c r="AO47"/>
      <c r="AP47"/>
      <c r="AQ47"/>
      <c r="AR47"/>
      <c r="AS47"/>
      <c r="AT47"/>
    </row>
    <row r="48" spans="1:46" x14ac:dyDescent="0.25">
      <c r="A48" s="1"/>
      <c r="B48" s="1"/>
      <c r="C48" s="1"/>
      <c r="D48" s="1"/>
      <c r="E48" s="1"/>
      <c r="F48" s="1"/>
      <c r="G48" s="8"/>
      <c r="H48" s="1"/>
      <c r="I48" s="1"/>
      <c r="J48" s="1"/>
      <c r="K48" s="1"/>
      <c r="L48" s="1"/>
      <c r="M48" s="3"/>
      <c r="N48" s="3"/>
      <c r="O48" s="3"/>
      <c r="P48" s="3"/>
      <c r="Q48" s="3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4"/>
      <c r="AG48" s="4"/>
      <c r="AJ48" s="11"/>
      <c r="AM48" s="11"/>
      <c r="AN48" s="6"/>
      <c r="AO48"/>
      <c r="AP48"/>
      <c r="AQ48"/>
      <c r="AR48"/>
      <c r="AS48"/>
      <c r="AT48"/>
    </row>
    <row r="49" spans="1:46" x14ac:dyDescent="0.25">
      <c r="A49" s="1"/>
      <c r="B49" s="1"/>
      <c r="C49" s="1"/>
      <c r="D49" s="1"/>
      <c r="E49" s="1"/>
      <c r="F49" s="1"/>
      <c r="G49" s="8"/>
      <c r="H49" s="1"/>
      <c r="I49" s="1"/>
      <c r="J49" s="1"/>
      <c r="K49" s="1"/>
      <c r="L49" s="1"/>
      <c r="M49" s="3"/>
      <c r="N49" s="3"/>
      <c r="O49" s="3"/>
      <c r="P49" s="3"/>
      <c r="Q49" s="3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4"/>
      <c r="AG49" s="4"/>
      <c r="AJ49" s="11"/>
      <c r="AM49" s="11"/>
      <c r="AN49" s="6"/>
      <c r="AO49"/>
      <c r="AP49"/>
      <c r="AQ49"/>
      <c r="AR49"/>
      <c r="AS49"/>
      <c r="AT49"/>
    </row>
    <row r="50" spans="1:46" x14ac:dyDescent="0.25">
      <c r="A50" s="1"/>
      <c r="B50" s="1"/>
      <c r="C50" s="1"/>
      <c r="D50" s="1"/>
      <c r="E50" s="1"/>
      <c r="F50" s="1"/>
      <c r="G50" s="8"/>
      <c r="H50" s="1"/>
      <c r="I50" s="1"/>
      <c r="J50" s="1"/>
      <c r="K50" s="1"/>
      <c r="L50" s="1"/>
      <c r="M50" s="3"/>
      <c r="N50" s="3"/>
      <c r="O50" s="3"/>
      <c r="P50" s="3"/>
      <c r="Q50" s="3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4"/>
      <c r="AG50" s="4"/>
      <c r="AJ50" s="11"/>
      <c r="AM50" s="11"/>
      <c r="AN50" s="6"/>
      <c r="AO50"/>
      <c r="AP50"/>
      <c r="AQ50"/>
      <c r="AR50"/>
      <c r="AS50"/>
      <c r="AT50"/>
    </row>
    <row r="51" spans="1:46" x14ac:dyDescent="0.25">
      <c r="A51" s="1"/>
      <c r="B51" s="1"/>
      <c r="C51" s="1"/>
      <c r="D51" s="1"/>
      <c r="E51" s="1"/>
      <c r="F51" s="1"/>
      <c r="G51" s="8"/>
      <c r="H51" s="1"/>
      <c r="I51" s="1"/>
      <c r="J51" s="1"/>
      <c r="K51" s="1"/>
      <c r="L51" s="1"/>
      <c r="M51" s="3"/>
      <c r="N51" s="3"/>
      <c r="O51" s="3"/>
      <c r="P51" s="3"/>
      <c r="Q51" s="3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4"/>
      <c r="AG51" s="4"/>
      <c r="AJ51" s="11"/>
      <c r="AM51" s="11"/>
      <c r="AN51" s="6"/>
      <c r="AO51"/>
      <c r="AP51"/>
      <c r="AQ51"/>
      <c r="AR51"/>
      <c r="AS51"/>
      <c r="AT51"/>
    </row>
    <row r="52" spans="1:46" x14ac:dyDescent="0.25">
      <c r="A52" s="1"/>
      <c r="B52" s="1"/>
      <c r="C52" s="1"/>
      <c r="D52" s="1"/>
      <c r="E52" s="1"/>
      <c r="F52" s="1"/>
      <c r="G52" s="8"/>
      <c r="H52" s="1"/>
      <c r="I52" s="1"/>
      <c r="J52" s="1"/>
      <c r="K52" s="1"/>
      <c r="L52" s="1"/>
      <c r="M52" s="3"/>
      <c r="N52" s="3"/>
      <c r="O52" s="3"/>
      <c r="P52" s="3"/>
      <c r="Q52" s="3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4"/>
      <c r="AG52" s="4"/>
      <c r="AJ52" s="11"/>
      <c r="AM52" s="11"/>
      <c r="AN52" s="6"/>
      <c r="AO52"/>
      <c r="AP52"/>
      <c r="AQ52"/>
      <c r="AR52"/>
      <c r="AS52"/>
      <c r="AT52"/>
    </row>
    <row r="53" spans="1:46" x14ac:dyDescent="0.25">
      <c r="A53" s="1"/>
      <c r="B53" s="1"/>
      <c r="C53" s="1"/>
      <c r="D53" s="1"/>
      <c r="E53" s="1"/>
      <c r="F53" s="1"/>
      <c r="G53" s="8"/>
      <c r="H53" s="1"/>
      <c r="I53" s="1"/>
      <c r="J53" s="1"/>
      <c r="K53" s="1"/>
      <c r="L53" s="1"/>
      <c r="M53" s="3"/>
      <c r="N53" s="3"/>
      <c r="O53" s="3"/>
      <c r="P53" s="3"/>
      <c r="Q53" s="3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4"/>
      <c r="AG53" s="4"/>
      <c r="AJ53" s="11"/>
      <c r="AM53" s="11"/>
      <c r="AN53" s="6"/>
      <c r="AO53"/>
      <c r="AP53"/>
      <c r="AQ53"/>
      <c r="AR53"/>
      <c r="AS53"/>
      <c r="AT53"/>
    </row>
    <row r="54" spans="1:46" x14ac:dyDescent="0.25">
      <c r="A54" s="1"/>
      <c r="B54" s="1"/>
      <c r="C54" s="1"/>
      <c r="D54" s="1"/>
      <c r="E54" s="1"/>
      <c r="F54" s="1"/>
      <c r="G54" s="8"/>
      <c r="H54" s="1"/>
      <c r="I54" s="1"/>
      <c r="J54" s="1"/>
      <c r="K54" s="1"/>
      <c r="L54" s="1"/>
      <c r="M54" s="3"/>
      <c r="N54" s="3"/>
      <c r="O54" s="3"/>
      <c r="P54" s="3"/>
      <c r="Q54" s="3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4"/>
      <c r="AG54" s="4"/>
      <c r="AJ54" s="11"/>
      <c r="AM54" s="11"/>
      <c r="AN54" s="6"/>
      <c r="AO54"/>
      <c r="AP54"/>
      <c r="AQ54"/>
      <c r="AR54"/>
      <c r="AS54"/>
      <c r="AT54"/>
    </row>
    <row r="55" spans="1:46" x14ac:dyDescent="0.25">
      <c r="A55" s="1"/>
      <c r="B55" s="1"/>
      <c r="C55" s="1"/>
      <c r="D55" s="1"/>
      <c r="E55" s="1"/>
      <c r="F55" s="1"/>
      <c r="G55" s="8"/>
      <c r="H55" s="1"/>
      <c r="I55" s="1"/>
      <c r="J55" s="1"/>
      <c r="K55" s="1"/>
      <c r="L55" s="1"/>
      <c r="M55" s="3"/>
      <c r="N55" s="3"/>
      <c r="O55" s="3"/>
      <c r="P55" s="3"/>
      <c r="Q55" s="3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4"/>
      <c r="AG55" s="4"/>
      <c r="AJ55" s="11"/>
      <c r="AM55" s="11"/>
      <c r="AN55" s="6"/>
      <c r="AO55"/>
      <c r="AP55"/>
      <c r="AQ55"/>
      <c r="AR55"/>
      <c r="AS55"/>
      <c r="AT55"/>
    </row>
    <row r="56" spans="1:46" x14ac:dyDescent="0.25">
      <c r="A56" s="1"/>
      <c r="B56" s="1"/>
      <c r="C56" s="1"/>
      <c r="D56" s="1"/>
      <c r="E56" s="1"/>
      <c r="F56" s="1"/>
      <c r="G56" s="8"/>
      <c r="H56" s="1"/>
      <c r="I56" s="1"/>
      <c r="J56" s="1"/>
      <c r="K56" s="1"/>
      <c r="L56" s="1"/>
      <c r="M56" s="3"/>
      <c r="N56" s="3"/>
      <c r="O56" s="3"/>
      <c r="P56" s="3"/>
      <c r="Q56" s="3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4"/>
      <c r="AG56" s="4"/>
      <c r="AJ56" s="11"/>
      <c r="AM56" s="11"/>
      <c r="AN56" s="6"/>
      <c r="AO56"/>
      <c r="AP56"/>
      <c r="AQ56"/>
      <c r="AR56"/>
      <c r="AS56"/>
      <c r="AT56"/>
    </row>
    <row r="57" spans="1:46" x14ac:dyDescent="0.25">
      <c r="A57" s="1"/>
      <c r="B57" s="1"/>
      <c r="C57" s="1"/>
      <c r="D57" s="1"/>
      <c r="E57" s="1"/>
      <c r="F57" s="1"/>
      <c r="G57" s="8"/>
      <c r="H57" s="1"/>
      <c r="I57" s="1"/>
      <c r="J57" s="1"/>
      <c r="K57" s="1"/>
      <c r="L57" s="1"/>
      <c r="M57" s="3"/>
      <c r="N57" s="3"/>
      <c r="O57" s="3"/>
      <c r="P57" s="3"/>
      <c r="Q57" s="3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4"/>
      <c r="AG57" s="4"/>
      <c r="AJ57" s="11"/>
      <c r="AM57" s="11"/>
      <c r="AN57" s="6"/>
      <c r="AO57"/>
      <c r="AP57"/>
      <c r="AQ57"/>
      <c r="AR57"/>
      <c r="AS57"/>
      <c r="AT57"/>
    </row>
    <row r="58" spans="1:46" x14ac:dyDescent="0.25">
      <c r="A58" s="1"/>
      <c r="B58" s="1"/>
      <c r="C58" s="1"/>
      <c r="D58" s="1"/>
      <c r="E58" s="1"/>
      <c r="F58" s="1"/>
      <c r="G58" s="8"/>
      <c r="H58" s="1"/>
      <c r="I58" s="1"/>
      <c r="J58" s="1"/>
      <c r="K58" s="1"/>
      <c r="L58" s="1"/>
      <c r="M58" s="3"/>
      <c r="N58" s="3"/>
      <c r="O58" s="3"/>
      <c r="P58" s="3"/>
      <c r="Q58" s="3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4"/>
      <c r="AG58" s="4"/>
      <c r="AJ58" s="11"/>
      <c r="AM58" s="11"/>
      <c r="AN58" s="6"/>
      <c r="AO58"/>
      <c r="AP58"/>
      <c r="AQ58"/>
      <c r="AR58"/>
      <c r="AS58"/>
      <c r="AT58"/>
    </row>
    <row r="59" spans="1:46" x14ac:dyDescent="0.25">
      <c r="A59" s="1"/>
      <c r="B59" s="1"/>
      <c r="C59" s="1"/>
      <c r="D59" s="1"/>
      <c r="E59" s="1"/>
      <c r="F59" s="1"/>
      <c r="G59" s="8"/>
      <c r="H59" s="1"/>
      <c r="I59" s="1"/>
      <c r="J59" s="1"/>
      <c r="K59" s="1"/>
      <c r="L59" s="1"/>
      <c r="M59" s="3"/>
      <c r="N59" s="3"/>
      <c r="O59" s="3"/>
      <c r="P59" s="3"/>
      <c r="Q59" s="3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4"/>
      <c r="AG59" s="4"/>
      <c r="AJ59" s="11"/>
      <c r="AM59" s="11"/>
      <c r="AN59" s="6"/>
      <c r="AO59"/>
      <c r="AP59"/>
      <c r="AQ59"/>
      <c r="AR59"/>
      <c r="AS59"/>
      <c r="AT59"/>
    </row>
    <row r="60" spans="1:46" x14ac:dyDescent="0.25">
      <c r="A60" s="1"/>
      <c r="B60" s="1"/>
      <c r="C60" s="1"/>
      <c r="D60" s="1"/>
      <c r="E60" s="1"/>
      <c r="F60" s="1"/>
      <c r="G60" s="8"/>
      <c r="H60" s="1"/>
      <c r="I60" s="1"/>
      <c r="J60" s="1"/>
      <c r="K60" s="1"/>
      <c r="L60" s="1"/>
      <c r="M60" s="3"/>
      <c r="N60" s="3"/>
      <c r="O60" s="3"/>
      <c r="P60" s="3"/>
      <c r="Q60" s="3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4"/>
      <c r="AG60" s="4"/>
      <c r="AJ60" s="11"/>
      <c r="AM60" s="11"/>
      <c r="AN60" s="6"/>
      <c r="AO60"/>
      <c r="AP60"/>
      <c r="AQ60"/>
      <c r="AR60"/>
      <c r="AS60"/>
      <c r="AT60"/>
    </row>
    <row r="61" spans="1:46" x14ac:dyDescent="0.25">
      <c r="A61" s="1"/>
      <c r="B61" s="1"/>
      <c r="C61" s="1"/>
      <c r="D61" s="1"/>
      <c r="E61" s="1"/>
      <c r="F61" s="1"/>
      <c r="G61" s="8"/>
      <c r="H61" s="1"/>
      <c r="I61" s="1"/>
      <c r="J61" s="1"/>
      <c r="K61" s="1"/>
      <c r="L61" s="1"/>
      <c r="M61" s="3"/>
      <c r="N61" s="3"/>
      <c r="O61" s="3"/>
      <c r="P61" s="3"/>
      <c r="Q61" s="3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4"/>
      <c r="AG61" s="4"/>
      <c r="AJ61" s="11"/>
      <c r="AM61" s="11"/>
      <c r="AN61" s="6"/>
      <c r="AO61"/>
      <c r="AP61"/>
      <c r="AQ61"/>
      <c r="AR61"/>
      <c r="AS61"/>
      <c r="AT61"/>
    </row>
    <row r="62" spans="1:46" x14ac:dyDescent="0.25">
      <c r="A62" s="1"/>
      <c r="B62" s="1"/>
      <c r="C62" s="1"/>
      <c r="D62" s="1"/>
      <c r="E62" s="1"/>
      <c r="F62" s="1"/>
      <c r="G62" s="8"/>
      <c r="H62" s="1"/>
      <c r="I62" s="1"/>
      <c r="J62" s="1"/>
      <c r="K62" s="1"/>
      <c r="L62" s="1"/>
      <c r="M62" s="3"/>
      <c r="N62" s="3"/>
      <c r="O62" s="3"/>
      <c r="P62" s="3"/>
      <c r="Q62" s="3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4"/>
      <c r="AG62" s="4"/>
      <c r="AJ62" s="11"/>
      <c r="AM62" s="11"/>
      <c r="AN62" s="6"/>
      <c r="AO62"/>
      <c r="AP62"/>
      <c r="AQ62"/>
      <c r="AR62"/>
      <c r="AS62"/>
      <c r="AT62"/>
    </row>
    <row r="63" spans="1:46" x14ac:dyDescent="0.25">
      <c r="A63" s="1"/>
      <c r="B63" s="1"/>
      <c r="C63" s="1"/>
      <c r="D63" s="1"/>
      <c r="E63" s="1"/>
      <c r="F63" s="1"/>
      <c r="G63" s="8"/>
      <c r="H63" s="1"/>
      <c r="I63" s="1"/>
      <c r="J63" s="1"/>
      <c r="K63" s="1"/>
      <c r="L63" s="1"/>
      <c r="M63" s="3"/>
      <c r="N63" s="3"/>
      <c r="O63" s="3"/>
      <c r="P63" s="3"/>
      <c r="Q63" s="3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4"/>
      <c r="AG63" s="4"/>
      <c r="AJ63" s="11"/>
      <c r="AM63" s="11"/>
      <c r="AN63" s="6"/>
      <c r="AO63"/>
      <c r="AP63"/>
      <c r="AQ63"/>
      <c r="AR63"/>
      <c r="AS63"/>
      <c r="AT63"/>
    </row>
    <row r="64" spans="1:46" x14ac:dyDescent="0.25">
      <c r="A64" s="1"/>
      <c r="B64" s="1"/>
      <c r="C64" s="1"/>
      <c r="D64" s="1"/>
      <c r="E64" s="1"/>
      <c r="F64" s="1"/>
      <c r="G64" s="8"/>
      <c r="H64" s="1"/>
      <c r="I64" s="1"/>
      <c r="J64" s="1"/>
      <c r="K64" s="1"/>
      <c r="L64" s="1"/>
      <c r="M64" s="3"/>
      <c r="N64" s="3"/>
      <c r="O64" s="3"/>
      <c r="P64" s="3"/>
      <c r="Q64" s="3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4"/>
      <c r="AG64" s="4"/>
      <c r="AJ64" s="11"/>
      <c r="AM64" s="11"/>
      <c r="AN64" s="6"/>
      <c r="AO64"/>
      <c r="AP64"/>
      <c r="AQ64"/>
      <c r="AR64"/>
      <c r="AS64"/>
      <c r="AT64"/>
    </row>
    <row r="65" spans="1:46" x14ac:dyDescent="0.25">
      <c r="A65" s="1"/>
      <c r="B65" s="1"/>
      <c r="C65" s="1"/>
      <c r="D65" s="1"/>
      <c r="E65" s="1"/>
      <c r="F65" s="1"/>
      <c r="G65" s="8"/>
      <c r="H65" s="1"/>
      <c r="I65" s="1"/>
      <c r="J65" s="1"/>
      <c r="K65" s="1"/>
      <c r="L65" s="1"/>
      <c r="M65" s="3"/>
      <c r="N65" s="3"/>
      <c r="O65" s="3"/>
      <c r="P65" s="3"/>
      <c r="Q65" s="3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4"/>
      <c r="AG65" s="4"/>
      <c r="AJ65" s="11"/>
      <c r="AM65" s="11"/>
      <c r="AN65" s="6"/>
      <c r="AO65"/>
      <c r="AP65"/>
      <c r="AQ65"/>
      <c r="AR65"/>
      <c r="AS65"/>
      <c r="AT65"/>
    </row>
    <row r="66" spans="1:46" x14ac:dyDescent="0.25">
      <c r="A66" s="1"/>
      <c r="B66" s="1"/>
      <c r="C66" s="1"/>
      <c r="D66" s="1"/>
      <c r="E66" s="1"/>
      <c r="F66" s="1"/>
      <c r="G66" s="8"/>
      <c r="H66" s="1"/>
      <c r="I66" s="1"/>
      <c r="J66" s="1"/>
      <c r="K66" s="1"/>
      <c r="L66" s="1"/>
      <c r="M66" s="3"/>
      <c r="N66" s="3"/>
      <c r="O66" s="3"/>
      <c r="P66" s="3"/>
      <c r="Q66" s="3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4"/>
      <c r="AG66" s="4"/>
      <c r="AJ66" s="11"/>
      <c r="AM66" s="11"/>
      <c r="AN66" s="6"/>
      <c r="AO66"/>
      <c r="AP66"/>
      <c r="AQ66"/>
      <c r="AR66"/>
      <c r="AS66"/>
      <c r="AT66"/>
    </row>
    <row r="67" spans="1:46" x14ac:dyDescent="0.25">
      <c r="A67" s="1"/>
      <c r="B67" s="1"/>
      <c r="C67" s="1"/>
      <c r="D67" s="1"/>
      <c r="E67" s="1"/>
      <c r="F67" s="1"/>
      <c r="G67" s="8"/>
      <c r="H67" s="1"/>
      <c r="I67" s="1"/>
      <c r="J67" s="1"/>
      <c r="K67" s="1"/>
      <c r="L67" s="1"/>
      <c r="M67" s="3"/>
      <c r="N67" s="3"/>
      <c r="O67" s="3"/>
      <c r="P67" s="3"/>
      <c r="Q67" s="3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4"/>
      <c r="AG67" s="4"/>
      <c r="AJ67" s="11"/>
      <c r="AM67" s="11"/>
      <c r="AN67" s="6"/>
      <c r="AO67"/>
      <c r="AP67"/>
      <c r="AQ67"/>
      <c r="AR67"/>
      <c r="AS67"/>
      <c r="AT67"/>
    </row>
    <row r="68" spans="1:46" x14ac:dyDescent="0.25">
      <c r="A68" s="1"/>
      <c r="B68" s="1"/>
      <c r="C68" s="1"/>
      <c r="D68" s="1"/>
      <c r="E68" s="1"/>
      <c r="F68" s="1"/>
      <c r="G68" s="8"/>
      <c r="H68" s="1"/>
      <c r="I68" s="1"/>
      <c r="J68" s="1"/>
      <c r="K68" s="1"/>
      <c r="L68" s="1"/>
      <c r="M68" s="3"/>
      <c r="N68" s="3"/>
      <c r="O68" s="3"/>
      <c r="P68" s="3"/>
      <c r="Q68" s="3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4"/>
      <c r="AG68" s="4"/>
      <c r="AJ68" s="11"/>
      <c r="AM68" s="11"/>
      <c r="AN68" s="6"/>
      <c r="AO68"/>
      <c r="AP68"/>
      <c r="AQ68"/>
      <c r="AR68"/>
      <c r="AS68"/>
      <c r="AT68"/>
    </row>
    <row r="69" spans="1:46" x14ac:dyDescent="0.25">
      <c r="A69" s="1"/>
      <c r="B69" s="1"/>
      <c r="C69" s="1"/>
      <c r="D69" s="1"/>
      <c r="E69" s="1"/>
      <c r="F69" s="1"/>
      <c r="G69" s="8"/>
      <c r="H69" s="1"/>
      <c r="I69" s="1"/>
      <c r="J69" s="1"/>
      <c r="K69" s="1"/>
      <c r="L69" s="1"/>
      <c r="M69" s="3"/>
      <c r="N69" s="3"/>
      <c r="O69" s="3"/>
      <c r="P69" s="3"/>
      <c r="Q69" s="3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4"/>
      <c r="AG69" s="4"/>
      <c r="AJ69" s="11"/>
      <c r="AM69" s="11"/>
      <c r="AN69" s="6"/>
      <c r="AO69"/>
      <c r="AP69"/>
      <c r="AQ69"/>
      <c r="AR69"/>
      <c r="AS69"/>
      <c r="AT69"/>
    </row>
    <row r="70" spans="1:46" x14ac:dyDescent="0.25">
      <c r="A70" s="1"/>
      <c r="B70" s="1"/>
      <c r="C70" s="1"/>
      <c r="D70" s="1"/>
      <c r="E70" s="1"/>
      <c r="F70" s="1"/>
      <c r="G70" s="8"/>
      <c r="H70" s="1"/>
      <c r="I70" s="1"/>
      <c r="J70" s="1"/>
      <c r="K70" s="1"/>
      <c r="L70" s="1"/>
      <c r="M70" s="3"/>
      <c r="N70" s="3"/>
      <c r="O70" s="3"/>
      <c r="P70" s="3"/>
      <c r="Q70" s="3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4"/>
      <c r="AG70" s="4"/>
      <c r="AJ70" s="11"/>
      <c r="AM70" s="11"/>
      <c r="AN70" s="6"/>
      <c r="AO70"/>
      <c r="AP70"/>
      <c r="AQ70"/>
      <c r="AR70"/>
      <c r="AS70"/>
      <c r="AT70"/>
    </row>
    <row r="71" spans="1:46" x14ac:dyDescent="0.25">
      <c r="A71" s="1"/>
      <c r="B71" s="1"/>
      <c r="C71" s="1"/>
      <c r="D71" s="1"/>
      <c r="E71" s="1"/>
      <c r="F71" s="1"/>
      <c r="G71" s="8"/>
      <c r="H71" s="1"/>
      <c r="I71" s="1"/>
      <c r="J71" s="1"/>
      <c r="K71" s="1"/>
      <c r="L71" s="1"/>
      <c r="M71" s="3"/>
      <c r="N71" s="3"/>
      <c r="O71" s="3"/>
      <c r="P71" s="3"/>
      <c r="Q71" s="3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4"/>
      <c r="AG71" s="4"/>
      <c r="AJ71" s="11"/>
      <c r="AM71" s="11"/>
      <c r="AN71" s="6"/>
      <c r="AO71"/>
      <c r="AP71"/>
      <c r="AQ71"/>
      <c r="AR71"/>
      <c r="AS71"/>
      <c r="AT71"/>
    </row>
    <row r="72" spans="1:46" x14ac:dyDescent="0.25">
      <c r="A72" s="1"/>
      <c r="B72" s="1"/>
      <c r="C72" s="1"/>
      <c r="D72" s="1"/>
      <c r="E72" s="1"/>
      <c r="F72" s="1"/>
      <c r="G72" s="8"/>
      <c r="H72" s="1"/>
      <c r="I72" s="1"/>
      <c r="J72" s="1"/>
      <c r="K72" s="1"/>
      <c r="L72" s="1"/>
      <c r="M72" s="3"/>
      <c r="N72" s="3"/>
      <c r="O72" s="3"/>
      <c r="P72" s="3"/>
      <c r="Q72" s="3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4"/>
      <c r="AG72" s="4"/>
      <c r="AJ72" s="11"/>
      <c r="AM72" s="11"/>
      <c r="AN72" s="6"/>
      <c r="AO72"/>
      <c r="AP72"/>
      <c r="AQ72"/>
      <c r="AR72"/>
      <c r="AS72"/>
      <c r="AT72"/>
    </row>
    <row r="73" spans="1:46" x14ac:dyDescent="0.25">
      <c r="A73" s="1"/>
      <c r="B73" s="1"/>
      <c r="C73" s="1"/>
      <c r="D73" s="1"/>
      <c r="E73" s="1"/>
      <c r="F73" s="1"/>
      <c r="G73" s="8"/>
      <c r="H73" s="1"/>
      <c r="I73" s="1"/>
      <c r="J73" s="1"/>
      <c r="K73" s="1"/>
      <c r="L73" s="1"/>
      <c r="M73" s="3"/>
      <c r="N73" s="3"/>
      <c r="O73" s="3"/>
      <c r="P73" s="3"/>
      <c r="Q73" s="3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4"/>
      <c r="AG73" s="4"/>
      <c r="AJ73" s="11"/>
      <c r="AM73" s="11"/>
      <c r="AN73" s="6"/>
      <c r="AO73"/>
      <c r="AP73"/>
      <c r="AQ73"/>
      <c r="AR73"/>
      <c r="AS73"/>
      <c r="AT73"/>
    </row>
    <row r="74" spans="1:46" x14ac:dyDescent="0.25">
      <c r="A74" s="1"/>
      <c r="B74" s="1"/>
      <c r="C74" s="1"/>
      <c r="D74" s="1"/>
      <c r="E74" s="1"/>
      <c r="F74" s="1"/>
      <c r="G74" s="8"/>
      <c r="H74" s="1"/>
      <c r="I74" s="1"/>
      <c r="J74" s="1"/>
      <c r="K74" s="1"/>
      <c r="L74" s="1"/>
      <c r="M74" s="3"/>
      <c r="N74" s="3"/>
      <c r="O74" s="3"/>
      <c r="P74" s="3"/>
      <c r="Q74" s="3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4"/>
      <c r="AG74" s="4"/>
      <c r="AJ74" s="11"/>
      <c r="AM74" s="11"/>
      <c r="AN74" s="6"/>
      <c r="AO74"/>
      <c r="AP74"/>
      <c r="AQ74"/>
      <c r="AR74"/>
      <c r="AS74"/>
      <c r="AT74"/>
    </row>
    <row r="75" spans="1:46" x14ac:dyDescent="0.25">
      <c r="A75" s="1"/>
      <c r="B75" s="1"/>
      <c r="C75" s="1"/>
      <c r="D75" s="1"/>
      <c r="E75" s="1"/>
      <c r="F75" s="1"/>
      <c r="G75" s="8"/>
      <c r="H75" s="1"/>
      <c r="I75" s="1"/>
      <c r="J75" s="1"/>
      <c r="K75" s="1"/>
      <c r="L75" s="1"/>
      <c r="M75" s="3"/>
      <c r="N75" s="3"/>
      <c r="O75" s="3"/>
      <c r="P75" s="3"/>
      <c r="Q75" s="3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4"/>
      <c r="AG75" s="4"/>
      <c r="AJ75" s="11"/>
      <c r="AM75" s="11"/>
      <c r="AN75" s="6"/>
      <c r="AO75"/>
      <c r="AP75"/>
      <c r="AQ75"/>
      <c r="AR75"/>
      <c r="AS75"/>
      <c r="AT75"/>
    </row>
    <row r="76" spans="1:46" x14ac:dyDescent="0.25">
      <c r="A76" s="1"/>
      <c r="B76" s="1"/>
      <c r="C76" s="1"/>
      <c r="D76" s="1"/>
      <c r="E76" s="1"/>
      <c r="F76" s="1"/>
      <c r="G76" s="8"/>
      <c r="H76" s="1"/>
      <c r="I76" s="1"/>
      <c r="J76" s="1"/>
      <c r="K76" s="1"/>
      <c r="L76" s="1"/>
      <c r="M76" s="3"/>
      <c r="N76" s="3"/>
      <c r="O76" s="3"/>
      <c r="P76" s="3"/>
      <c r="Q76" s="3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4"/>
      <c r="AG76" s="4"/>
      <c r="AH76" s="4"/>
      <c r="AI76" s="4"/>
      <c r="AJ76" s="11"/>
      <c r="AK76" s="11"/>
      <c r="AL76" s="10"/>
      <c r="AM76" s="11"/>
      <c r="AN76" s="6"/>
      <c r="AO76"/>
      <c r="AP76"/>
      <c r="AQ76"/>
      <c r="AR76"/>
      <c r="AS76"/>
      <c r="AT76"/>
    </row>
    <row r="77" spans="1:46" x14ac:dyDescent="0.25">
      <c r="A77" s="1"/>
      <c r="B77" s="1"/>
      <c r="C77" s="1"/>
      <c r="D77" s="1"/>
      <c r="E77" s="1"/>
      <c r="F77" s="1"/>
      <c r="G77" s="8"/>
      <c r="H77" s="1"/>
      <c r="I77" s="1"/>
      <c r="J77" s="1"/>
      <c r="K77" s="1"/>
      <c r="L77" s="1"/>
      <c r="M77" s="3"/>
      <c r="N77" s="3"/>
      <c r="O77" s="3"/>
      <c r="P77" s="3"/>
      <c r="Q77" s="3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4"/>
      <c r="AG77" s="4"/>
      <c r="AH77" s="4"/>
      <c r="AI77" s="4"/>
      <c r="AJ77" s="11"/>
      <c r="AK77" s="11"/>
      <c r="AL77" s="10"/>
      <c r="AM77" s="11"/>
      <c r="AN77" s="6"/>
      <c r="AO77"/>
      <c r="AP77"/>
      <c r="AQ77"/>
      <c r="AR77"/>
      <c r="AS77"/>
      <c r="AT77"/>
    </row>
    <row r="78" spans="1:46" x14ac:dyDescent="0.25">
      <c r="A78" s="1"/>
      <c r="B78" s="1"/>
      <c r="C78" s="1"/>
      <c r="D78" s="1"/>
      <c r="E78" s="1"/>
      <c r="F78" s="1"/>
      <c r="G78" s="8"/>
      <c r="H78" s="1"/>
      <c r="I78" s="1"/>
      <c r="J78" s="1"/>
      <c r="K78" s="1"/>
      <c r="L78" s="1"/>
      <c r="M78" s="3"/>
      <c r="N78" s="3"/>
      <c r="O78" s="3"/>
      <c r="P78" s="3"/>
      <c r="Q78" s="3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4"/>
      <c r="AG78" s="4"/>
      <c r="AJ78" s="11"/>
      <c r="AM78" s="11"/>
      <c r="AN78" s="6"/>
      <c r="AO78"/>
      <c r="AP78"/>
      <c r="AQ78"/>
      <c r="AR78"/>
      <c r="AS78"/>
      <c r="AT78"/>
    </row>
    <row r="79" spans="1:46" x14ac:dyDescent="0.25">
      <c r="A79" s="1"/>
      <c r="B79" s="1"/>
      <c r="C79" s="1"/>
      <c r="D79" s="1"/>
      <c r="E79" s="1"/>
      <c r="F79" s="1"/>
      <c r="G79" s="8"/>
      <c r="H79" s="1"/>
      <c r="I79" s="1"/>
      <c r="J79" s="1"/>
      <c r="K79" s="1"/>
      <c r="L79" s="1"/>
      <c r="M79" s="3"/>
      <c r="N79" s="3"/>
      <c r="O79" s="3"/>
      <c r="P79" s="3"/>
      <c r="Q79" s="3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4"/>
      <c r="AG79" s="4"/>
      <c r="AJ79" s="11"/>
      <c r="AM79" s="11"/>
      <c r="AN79" s="6"/>
      <c r="AO79"/>
      <c r="AP79"/>
      <c r="AQ79"/>
      <c r="AR79"/>
      <c r="AS79"/>
      <c r="AT79"/>
    </row>
    <row r="80" spans="1:46" x14ac:dyDescent="0.25">
      <c r="A80" s="1"/>
      <c r="B80" s="1"/>
      <c r="C80" s="1"/>
      <c r="D80" s="1"/>
      <c r="E80" s="1"/>
      <c r="F80" s="1"/>
      <c r="G80" s="8"/>
      <c r="H80" s="1"/>
      <c r="I80" s="1"/>
      <c r="J80" s="1"/>
      <c r="K80" s="1"/>
      <c r="L80" s="1"/>
      <c r="M80" s="3"/>
      <c r="N80" s="3"/>
      <c r="O80" s="3"/>
      <c r="P80" s="3"/>
      <c r="Q80" s="3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4"/>
      <c r="AG80" s="4"/>
      <c r="AJ80" s="11"/>
      <c r="AM80" s="11"/>
      <c r="AN80" s="6"/>
      <c r="AO80"/>
      <c r="AP80"/>
      <c r="AQ80"/>
      <c r="AR80"/>
      <c r="AS80"/>
      <c r="AT80"/>
    </row>
    <row r="81" spans="1:46" x14ac:dyDescent="0.25">
      <c r="A81" s="1"/>
      <c r="B81" s="1"/>
      <c r="C81" s="1"/>
      <c r="D81" s="1"/>
      <c r="E81" s="1"/>
      <c r="F81" s="1"/>
      <c r="G81" s="8"/>
      <c r="H81" s="1"/>
      <c r="I81" s="1"/>
      <c r="J81" s="1"/>
      <c r="K81" s="1"/>
      <c r="L81" s="1"/>
      <c r="M81" s="3"/>
      <c r="N81" s="3"/>
      <c r="O81" s="3"/>
      <c r="P81" s="3"/>
      <c r="Q81" s="3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4"/>
      <c r="AG81" s="4"/>
      <c r="AJ81" s="11"/>
      <c r="AM81" s="11"/>
      <c r="AN81" s="6"/>
      <c r="AO81"/>
      <c r="AP81"/>
      <c r="AQ81"/>
      <c r="AR81"/>
      <c r="AS81"/>
      <c r="AT81"/>
    </row>
    <row r="82" spans="1:46" x14ac:dyDescent="0.25">
      <c r="A82" s="1"/>
      <c r="B82" s="1"/>
      <c r="C82" s="1"/>
      <c r="D82" s="1"/>
      <c r="E82" s="1"/>
      <c r="F82" s="1"/>
      <c r="G82" s="8"/>
      <c r="H82" s="1"/>
      <c r="I82" s="1"/>
      <c r="J82" s="1"/>
      <c r="K82" s="1"/>
      <c r="L82" s="1"/>
      <c r="M82" s="3"/>
      <c r="N82" s="3"/>
      <c r="O82" s="3"/>
      <c r="P82" s="3"/>
      <c r="Q82" s="3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4"/>
      <c r="AG82" s="4"/>
      <c r="AH82" s="4"/>
      <c r="AI82" s="4"/>
      <c r="AJ82" s="11"/>
      <c r="AK82" s="11"/>
      <c r="AL82" s="10"/>
      <c r="AM82" s="11"/>
      <c r="AN82" s="6"/>
      <c r="AO82"/>
      <c r="AP82"/>
      <c r="AQ82"/>
      <c r="AR82"/>
      <c r="AS82"/>
      <c r="AT82"/>
    </row>
    <row r="83" spans="1:46" x14ac:dyDescent="0.25">
      <c r="A83" s="1"/>
      <c r="B83" s="1"/>
      <c r="C83" s="1"/>
      <c r="D83" s="1"/>
      <c r="E83" s="1"/>
      <c r="F83" s="1"/>
      <c r="G83" s="8"/>
      <c r="H83" s="1"/>
      <c r="I83" s="1"/>
      <c r="J83" s="1"/>
      <c r="K83" s="1"/>
      <c r="L83" s="1"/>
      <c r="M83" s="3"/>
      <c r="N83" s="3"/>
      <c r="O83" s="3"/>
      <c r="P83" s="3"/>
      <c r="Q83" s="3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4"/>
      <c r="AG83" s="4"/>
      <c r="AH83" s="4"/>
      <c r="AI83" s="4"/>
      <c r="AJ83" s="11"/>
      <c r="AK83" s="11"/>
      <c r="AL83" s="10"/>
      <c r="AM83" s="11"/>
      <c r="AN83" s="6"/>
      <c r="AO83"/>
      <c r="AP83"/>
      <c r="AQ83"/>
      <c r="AR83"/>
      <c r="AS83"/>
      <c r="AT83"/>
    </row>
    <row r="84" spans="1:46" x14ac:dyDescent="0.25">
      <c r="A84" s="1"/>
      <c r="B84" s="1"/>
      <c r="C84" s="1"/>
      <c r="D84" s="1"/>
      <c r="E84" s="1"/>
      <c r="F84" s="1"/>
      <c r="G84" s="8"/>
      <c r="H84" s="1"/>
      <c r="I84" s="1"/>
      <c r="J84" s="1"/>
      <c r="K84" s="1"/>
      <c r="L84" s="1"/>
      <c r="M84" s="3"/>
      <c r="N84" s="3"/>
      <c r="O84" s="3"/>
      <c r="P84" s="3"/>
      <c r="Q84" s="3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4"/>
      <c r="AG84" s="4"/>
      <c r="AJ84" s="11"/>
      <c r="AM84" s="11"/>
      <c r="AN84" s="6"/>
      <c r="AO84"/>
      <c r="AP84"/>
      <c r="AQ84"/>
      <c r="AR84"/>
      <c r="AS84"/>
      <c r="AT84"/>
    </row>
    <row r="85" spans="1:46" x14ac:dyDescent="0.25">
      <c r="A85" s="1"/>
      <c r="B85" s="1"/>
      <c r="C85" s="1"/>
      <c r="D85" s="1"/>
      <c r="E85" s="1"/>
      <c r="F85" s="1"/>
      <c r="G85" s="8"/>
      <c r="H85" s="1"/>
      <c r="I85" s="1"/>
      <c r="J85" s="1"/>
      <c r="K85" s="1"/>
      <c r="L85" s="1"/>
      <c r="M85" s="3"/>
      <c r="N85" s="3"/>
      <c r="O85" s="3"/>
      <c r="P85" s="3"/>
      <c r="Q85" s="3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4"/>
      <c r="AG85" s="4"/>
      <c r="AJ85" s="11"/>
      <c r="AM85" s="11"/>
      <c r="AN85" s="6"/>
      <c r="AO85"/>
      <c r="AP85"/>
      <c r="AQ85"/>
      <c r="AR85"/>
      <c r="AS85"/>
      <c r="AT85"/>
    </row>
    <row r="86" spans="1:46" x14ac:dyDescent="0.25">
      <c r="A86" s="1"/>
      <c r="B86" s="1"/>
      <c r="C86" s="1"/>
      <c r="D86" s="1"/>
      <c r="E86" s="1"/>
      <c r="F86" s="1"/>
      <c r="G86" s="8"/>
      <c r="H86" s="1"/>
      <c r="I86" s="1"/>
      <c r="J86" s="1"/>
      <c r="K86" s="1"/>
      <c r="L86" s="1"/>
      <c r="M86" s="3"/>
      <c r="N86" s="3"/>
      <c r="O86" s="3"/>
      <c r="P86" s="3"/>
      <c r="Q86" s="3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4"/>
      <c r="AG86" s="4"/>
      <c r="AJ86" s="11"/>
      <c r="AM86" s="11"/>
      <c r="AN86" s="6"/>
      <c r="AO86"/>
      <c r="AP86"/>
      <c r="AQ86"/>
      <c r="AR86"/>
      <c r="AS86"/>
      <c r="AT86"/>
    </row>
    <row r="87" spans="1:46" x14ac:dyDescent="0.25">
      <c r="A87" s="1"/>
      <c r="B87" s="1"/>
      <c r="C87" s="1"/>
      <c r="D87" s="1"/>
      <c r="E87" s="1"/>
      <c r="F87" s="1"/>
      <c r="G87" s="8"/>
      <c r="H87" s="1"/>
      <c r="I87" s="1"/>
      <c r="J87" s="1"/>
      <c r="K87" s="1"/>
      <c r="L87" s="1"/>
      <c r="M87" s="3"/>
      <c r="N87" s="3"/>
      <c r="O87" s="3"/>
      <c r="P87" s="3"/>
      <c r="Q87" s="3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4"/>
      <c r="AG87" s="4"/>
      <c r="AJ87" s="11"/>
      <c r="AM87" s="11"/>
      <c r="AN87" s="6"/>
      <c r="AO87"/>
      <c r="AP87"/>
      <c r="AQ87"/>
      <c r="AR87"/>
      <c r="AS87"/>
      <c r="AT87"/>
    </row>
    <row r="88" spans="1:46" x14ac:dyDescent="0.25">
      <c r="A88" s="1"/>
      <c r="B88" s="1"/>
      <c r="C88" s="1"/>
      <c r="D88" s="1"/>
      <c r="E88" s="1"/>
      <c r="F88" s="1"/>
      <c r="G88" s="8"/>
      <c r="H88" s="1"/>
      <c r="I88" s="1"/>
      <c r="J88" s="1"/>
      <c r="K88" s="1"/>
      <c r="L88" s="1"/>
      <c r="M88" s="3"/>
      <c r="N88" s="3"/>
      <c r="O88" s="3"/>
      <c r="P88" s="3"/>
      <c r="Q88" s="3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4"/>
      <c r="AG88" s="4"/>
      <c r="AJ88" s="11"/>
      <c r="AM88" s="11"/>
      <c r="AN88" s="6"/>
      <c r="AO88"/>
      <c r="AP88"/>
      <c r="AQ88"/>
      <c r="AR88"/>
      <c r="AS88"/>
      <c r="AT88"/>
    </row>
    <row r="89" spans="1:46" x14ac:dyDescent="0.25">
      <c r="A89" s="1"/>
      <c r="B89" s="1"/>
      <c r="C89" s="1"/>
      <c r="D89" s="1"/>
      <c r="E89" s="1"/>
      <c r="F89" s="1"/>
      <c r="G89" s="8"/>
      <c r="H89" s="1"/>
      <c r="I89" s="1"/>
      <c r="J89" s="1"/>
      <c r="K89" s="1"/>
      <c r="L89" s="1"/>
      <c r="M89" s="3"/>
      <c r="N89" s="3"/>
      <c r="O89" s="3"/>
      <c r="P89" s="3"/>
      <c r="Q89" s="3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4"/>
      <c r="AG89" s="4"/>
      <c r="AJ89" s="11"/>
      <c r="AM89" s="11"/>
      <c r="AN89" s="6"/>
      <c r="AO89"/>
      <c r="AP89"/>
      <c r="AQ89"/>
      <c r="AR89"/>
      <c r="AS89"/>
      <c r="AT89"/>
    </row>
    <row r="90" spans="1:46" x14ac:dyDescent="0.25">
      <c r="A90" s="1"/>
      <c r="B90" s="1"/>
      <c r="C90" s="1"/>
      <c r="D90" s="1"/>
      <c r="E90" s="1"/>
      <c r="F90" s="1"/>
      <c r="G90" s="8"/>
      <c r="H90" s="1"/>
      <c r="I90" s="1"/>
      <c r="J90" s="1"/>
      <c r="K90" s="1"/>
      <c r="L90" s="1"/>
      <c r="M90" s="3"/>
      <c r="N90" s="3"/>
      <c r="O90" s="3"/>
      <c r="P90" s="3"/>
      <c r="Q90" s="3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4"/>
      <c r="AG90" s="4"/>
      <c r="AJ90" s="11"/>
      <c r="AM90" s="11"/>
      <c r="AN90" s="6"/>
      <c r="AO90"/>
      <c r="AP90"/>
      <c r="AQ90"/>
      <c r="AR90"/>
      <c r="AS90"/>
      <c r="AT90"/>
    </row>
    <row r="91" spans="1:46" x14ac:dyDescent="0.25">
      <c r="A91" s="1"/>
      <c r="B91" s="1"/>
      <c r="C91" s="1"/>
      <c r="D91" s="1"/>
      <c r="E91" s="1"/>
      <c r="F91" s="1"/>
      <c r="G91" s="8"/>
      <c r="H91" s="1"/>
      <c r="I91" s="1"/>
      <c r="J91" s="1"/>
      <c r="K91" s="1"/>
      <c r="L91" s="1"/>
      <c r="M91" s="3"/>
      <c r="N91" s="3"/>
      <c r="O91" s="3"/>
      <c r="P91" s="3"/>
      <c r="Q91" s="3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4"/>
      <c r="AG91" s="4"/>
      <c r="AJ91" s="11"/>
      <c r="AM91" s="11"/>
      <c r="AN91" s="6"/>
      <c r="AO91"/>
      <c r="AP91"/>
      <c r="AQ91"/>
      <c r="AR91"/>
      <c r="AS91"/>
      <c r="AT91"/>
    </row>
    <row r="92" spans="1:46" x14ac:dyDescent="0.25">
      <c r="A92" s="1"/>
      <c r="B92" s="1"/>
      <c r="C92" s="1"/>
      <c r="D92" s="1"/>
      <c r="E92" s="1"/>
      <c r="F92" s="1"/>
      <c r="G92" s="8"/>
      <c r="H92" s="1"/>
      <c r="I92" s="1"/>
      <c r="J92" s="1"/>
      <c r="K92" s="1"/>
      <c r="L92" s="1"/>
      <c r="M92" s="3"/>
      <c r="N92" s="3"/>
      <c r="O92" s="3"/>
      <c r="P92" s="3"/>
      <c r="Q92" s="3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4"/>
      <c r="AG92" s="4"/>
      <c r="AJ92" s="11"/>
      <c r="AM92" s="11"/>
      <c r="AN92" s="6"/>
      <c r="AO92"/>
      <c r="AP92"/>
      <c r="AQ92"/>
      <c r="AR92"/>
      <c r="AS92"/>
      <c r="AT92"/>
    </row>
    <row r="93" spans="1:46" x14ac:dyDescent="0.25">
      <c r="A93" s="1"/>
      <c r="B93" s="1"/>
      <c r="C93" s="1"/>
      <c r="D93" s="1"/>
      <c r="E93" s="1"/>
      <c r="F93" s="1"/>
      <c r="G93" s="8"/>
      <c r="H93" s="1"/>
      <c r="I93" s="1"/>
      <c r="J93" s="1"/>
      <c r="K93" s="1"/>
      <c r="L93" s="1"/>
      <c r="M93" s="3"/>
      <c r="N93" s="3"/>
      <c r="O93" s="3"/>
      <c r="P93" s="3"/>
      <c r="Q93" s="3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4"/>
      <c r="AG93" s="4"/>
      <c r="AJ93" s="11"/>
      <c r="AM93" s="11"/>
      <c r="AN93" s="6"/>
      <c r="AO93"/>
      <c r="AP93"/>
      <c r="AQ93"/>
      <c r="AR93"/>
      <c r="AS93"/>
      <c r="AT93"/>
    </row>
    <row r="94" spans="1:46" x14ac:dyDescent="0.25">
      <c r="A94" s="1"/>
      <c r="B94" s="1"/>
      <c r="C94" s="1"/>
      <c r="D94" s="1"/>
      <c r="E94" s="1"/>
      <c r="F94" s="1"/>
      <c r="G94" s="8"/>
      <c r="H94" s="1"/>
      <c r="I94" s="1"/>
      <c r="J94" s="1"/>
      <c r="K94" s="1"/>
      <c r="L94" s="1"/>
      <c r="M94" s="3"/>
      <c r="N94" s="3"/>
      <c r="O94" s="3"/>
      <c r="P94" s="3"/>
      <c r="Q94" s="3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4"/>
      <c r="AG94" s="4"/>
      <c r="AJ94" s="11"/>
      <c r="AM94" s="11"/>
      <c r="AN94" s="6"/>
      <c r="AO94"/>
      <c r="AP94"/>
      <c r="AQ94"/>
      <c r="AR94"/>
      <c r="AS94"/>
      <c r="AT94"/>
    </row>
    <row r="95" spans="1:46" x14ac:dyDescent="0.25">
      <c r="A95" s="1"/>
      <c r="B95" s="1"/>
      <c r="C95" s="1"/>
      <c r="D95" s="1"/>
      <c r="E95" s="1"/>
      <c r="F95" s="1"/>
      <c r="G95" s="8"/>
      <c r="H95" s="1"/>
      <c r="I95" s="1"/>
      <c r="J95" s="1"/>
      <c r="K95" s="1"/>
      <c r="L95" s="1"/>
      <c r="M95" s="3"/>
      <c r="N95" s="3"/>
      <c r="O95" s="3"/>
      <c r="P95" s="3"/>
      <c r="Q95" s="3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4"/>
      <c r="AG95" s="4"/>
      <c r="AH95" s="4"/>
      <c r="AI95" s="4"/>
      <c r="AJ95" s="11"/>
      <c r="AK95" s="11"/>
      <c r="AL95" s="10"/>
      <c r="AM95" s="11"/>
      <c r="AN95" s="6"/>
      <c r="AO95"/>
      <c r="AP95"/>
      <c r="AQ95"/>
      <c r="AR95"/>
      <c r="AS95"/>
      <c r="AT95"/>
    </row>
    <row r="96" spans="1:46" x14ac:dyDescent="0.25">
      <c r="A96" s="1"/>
      <c r="B96" s="1"/>
      <c r="C96" s="1"/>
      <c r="D96" s="1"/>
      <c r="E96" s="1"/>
      <c r="F96" s="1"/>
      <c r="G96" s="8"/>
      <c r="H96" s="1"/>
      <c r="I96" s="1"/>
      <c r="J96" s="1"/>
      <c r="K96" s="1"/>
      <c r="L96" s="1"/>
      <c r="M96" s="3"/>
      <c r="N96" s="3"/>
      <c r="O96" s="3"/>
      <c r="P96" s="3"/>
      <c r="Q96" s="3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4"/>
      <c r="AG96" s="4"/>
      <c r="AH96" s="4"/>
      <c r="AI96" s="4"/>
      <c r="AJ96" s="11"/>
      <c r="AK96" s="11"/>
      <c r="AL96" s="10"/>
      <c r="AM96" s="11"/>
      <c r="AN96" s="6"/>
      <c r="AO96"/>
      <c r="AP96"/>
      <c r="AQ96"/>
      <c r="AR96"/>
      <c r="AS96"/>
      <c r="AT96"/>
    </row>
    <row r="97" spans="1:46" x14ac:dyDescent="0.25">
      <c r="A97" s="1"/>
      <c r="B97" s="1"/>
      <c r="C97" s="1"/>
      <c r="D97" s="1"/>
      <c r="E97" s="1"/>
      <c r="F97" s="1"/>
      <c r="G97" s="8"/>
      <c r="H97" s="1"/>
      <c r="I97" s="1"/>
      <c r="J97" s="1"/>
      <c r="K97" s="1"/>
      <c r="L97" s="1"/>
      <c r="M97" s="3"/>
      <c r="N97" s="3"/>
      <c r="O97" s="3"/>
      <c r="P97" s="3"/>
      <c r="Q97" s="3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4"/>
      <c r="AG97" s="4"/>
      <c r="AJ97" s="11"/>
      <c r="AM97" s="11"/>
      <c r="AN97" s="6"/>
      <c r="AO97"/>
      <c r="AP97"/>
      <c r="AQ97"/>
      <c r="AR97"/>
      <c r="AS97"/>
      <c r="AT97"/>
    </row>
    <row r="98" spans="1:46" x14ac:dyDescent="0.25">
      <c r="A98" s="1"/>
      <c r="B98" s="1"/>
      <c r="C98" s="1"/>
      <c r="D98" s="1"/>
      <c r="E98" s="1"/>
      <c r="F98" s="1"/>
      <c r="G98" s="8"/>
      <c r="H98" s="1"/>
      <c r="I98" s="1"/>
      <c r="J98" s="1"/>
      <c r="K98" s="1"/>
      <c r="L98" s="1"/>
      <c r="M98" s="3"/>
      <c r="N98" s="3"/>
      <c r="O98" s="3"/>
      <c r="P98" s="3"/>
      <c r="Q98" s="3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4"/>
      <c r="AG98" s="4"/>
      <c r="AJ98" s="11"/>
      <c r="AM98" s="11"/>
      <c r="AN98" s="6"/>
      <c r="AO98"/>
      <c r="AP98"/>
      <c r="AQ98"/>
      <c r="AR98"/>
      <c r="AS98"/>
      <c r="AT98"/>
    </row>
    <row r="99" spans="1:46" x14ac:dyDescent="0.25">
      <c r="A99" s="1"/>
      <c r="B99" s="1"/>
      <c r="C99" s="1"/>
      <c r="D99" s="1"/>
      <c r="E99" s="1"/>
      <c r="F99" s="1"/>
      <c r="G99" s="8"/>
      <c r="H99" s="1"/>
      <c r="I99" s="1"/>
      <c r="J99" s="1"/>
      <c r="K99" s="1"/>
      <c r="L99" s="1"/>
      <c r="M99" s="3"/>
      <c r="N99" s="3"/>
      <c r="O99" s="3"/>
      <c r="P99" s="3"/>
      <c r="Q99" s="3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4"/>
      <c r="AG99" s="4"/>
      <c r="AJ99" s="11"/>
      <c r="AM99" s="11"/>
      <c r="AN99" s="6"/>
      <c r="AO99"/>
      <c r="AP99"/>
      <c r="AQ99"/>
      <c r="AR99"/>
      <c r="AS99"/>
      <c r="AT99"/>
    </row>
    <row r="100" spans="1:46" x14ac:dyDescent="0.25">
      <c r="A100" s="1"/>
      <c r="B100" s="1"/>
      <c r="C100" s="1"/>
      <c r="D100" s="1"/>
      <c r="E100" s="1"/>
      <c r="F100" s="1"/>
      <c r="G100" s="8"/>
      <c r="H100" s="1"/>
      <c r="I100" s="1"/>
      <c r="J100" s="1"/>
      <c r="K100" s="1"/>
      <c r="L100" s="1"/>
      <c r="M100" s="3"/>
      <c r="N100" s="3"/>
      <c r="O100" s="3"/>
      <c r="P100" s="3"/>
      <c r="Q100" s="3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4"/>
      <c r="AG100" s="4"/>
      <c r="AJ100" s="11"/>
      <c r="AM100" s="11"/>
      <c r="AN100" s="6"/>
      <c r="AO100"/>
      <c r="AP100"/>
      <c r="AQ100"/>
      <c r="AR100"/>
      <c r="AS100"/>
      <c r="AT100"/>
    </row>
    <row r="101" spans="1:46" x14ac:dyDescent="0.25">
      <c r="A101" s="1"/>
      <c r="B101" s="1"/>
      <c r="C101" s="1"/>
      <c r="D101" s="1"/>
      <c r="E101" s="1"/>
      <c r="F101" s="1"/>
      <c r="G101" s="8"/>
      <c r="H101" s="1"/>
      <c r="I101" s="1"/>
      <c r="J101" s="1"/>
      <c r="K101" s="1"/>
      <c r="L101" s="1"/>
      <c r="M101" s="3"/>
      <c r="N101" s="3"/>
      <c r="O101" s="3"/>
      <c r="P101" s="3"/>
      <c r="Q101" s="3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4"/>
      <c r="AG101" s="4"/>
      <c r="AJ101" s="11"/>
      <c r="AM101" s="11"/>
      <c r="AN101" s="6"/>
      <c r="AO101"/>
      <c r="AP101"/>
      <c r="AQ101"/>
      <c r="AR101"/>
      <c r="AS101"/>
      <c r="AT101"/>
    </row>
    <row r="102" spans="1:46" x14ac:dyDescent="0.25">
      <c r="A102" s="1"/>
      <c r="B102" s="1"/>
      <c r="C102" s="1"/>
      <c r="D102" s="1"/>
      <c r="E102" s="1"/>
      <c r="F102" s="1"/>
      <c r="G102" s="8"/>
      <c r="H102" s="1"/>
      <c r="I102" s="1"/>
      <c r="J102" s="1"/>
      <c r="K102" s="1"/>
      <c r="L102" s="1"/>
      <c r="M102" s="3"/>
      <c r="N102" s="3"/>
      <c r="O102" s="3"/>
      <c r="P102" s="3"/>
      <c r="Q102" s="3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4"/>
      <c r="AG102" s="4"/>
      <c r="AJ102" s="11"/>
      <c r="AM102" s="11"/>
      <c r="AN102" s="6"/>
      <c r="AO102"/>
      <c r="AP102"/>
      <c r="AQ102"/>
      <c r="AR102"/>
      <c r="AS102"/>
      <c r="AT102"/>
    </row>
    <row r="103" spans="1:46" x14ac:dyDescent="0.25">
      <c r="A103" s="1"/>
      <c r="B103" s="1"/>
      <c r="C103" s="1"/>
      <c r="D103" s="1"/>
      <c r="E103" s="1"/>
      <c r="F103" s="1"/>
      <c r="G103" s="8"/>
      <c r="H103" s="1"/>
      <c r="I103" s="1"/>
      <c r="J103" s="1"/>
      <c r="K103" s="1"/>
      <c r="L103" s="1"/>
      <c r="M103" s="3"/>
      <c r="N103" s="3"/>
      <c r="O103" s="3"/>
      <c r="P103" s="3"/>
      <c r="Q103" s="3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4"/>
      <c r="AG103" s="4"/>
      <c r="AJ103" s="11"/>
      <c r="AM103" s="11"/>
      <c r="AN103" s="6"/>
      <c r="AO103"/>
      <c r="AP103"/>
      <c r="AQ103"/>
      <c r="AR103"/>
      <c r="AS103"/>
      <c r="AT103"/>
    </row>
    <row r="104" spans="1:46" x14ac:dyDescent="0.25">
      <c r="A104" s="1"/>
      <c r="B104" s="1"/>
      <c r="C104" s="1"/>
      <c r="D104" s="1"/>
      <c r="E104" s="1"/>
      <c r="F104" s="1"/>
      <c r="G104" s="8"/>
      <c r="H104" s="1"/>
      <c r="I104" s="1"/>
      <c r="J104" s="1"/>
      <c r="K104" s="1"/>
      <c r="L104" s="1"/>
      <c r="M104" s="3"/>
      <c r="N104" s="3"/>
      <c r="O104" s="3"/>
      <c r="P104" s="3"/>
      <c r="Q104" s="3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4"/>
      <c r="AG104" s="4"/>
      <c r="AJ104" s="11"/>
      <c r="AM104" s="11"/>
      <c r="AN104" s="6"/>
      <c r="AO104"/>
      <c r="AP104"/>
      <c r="AQ104"/>
      <c r="AR104"/>
      <c r="AS104"/>
      <c r="AT104"/>
    </row>
    <row r="105" spans="1:46" x14ac:dyDescent="0.25">
      <c r="A105" s="1"/>
      <c r="B105" s="1"/>
      <c r="C105" s="1"/>
      <c r="D105" s="1"/>
      <c r="E105" s="1"/>
      <c r="F105" s="1"/>
      <c r="G105" s="8"/>
      <c r="H105" s="1"/>
      <c r="I105" s="1"/>
      <c r="J105" s="1"/>
      <c r="K105" s="1"/>
      <c r="L105" s="1"/>
      <c r="M105" s="3"/>
      <c r="N105" s="3"/>
      <c r="O105" s="3"/>
      <c r="P105" s="3"/>
      <c r="Q105" s="3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4"/>
      <c r="AG105" s="4"/>
      <c r="AJ105" s="11"/>
      <c r="AM105" s="11"/>
      <c r="AN105" s="6"/>
      <c r="AO105"/>
      <c r="AP105"/>
      <c r="AQ105"/>
      <c r="AR105"/>
      <c r="AS105"/>
      <c r="AT105"/>
    </row>
    <row r="106" spans="1:46" x14ac:dyDescent="0.25">
      <c r="A106" s="1"/>
      <c r="B106" s="1"/>
      <c r="C106" s="1"/>
      <c r="D106" s="1"/>
      <c r="E106" s="1"/>
      <c r="F106" s="1"/>
      <c r="G106" s="8"/>
      <c r="H106" s="1"/>
      <c r="I106" s="1"/>
      <c r="J106" s="1"/>
      <c r="K106" s="1"/>
      <c r="L106" s="1"/>
      <c r="M106" s="3"/>
      <c r="N106" s="3"/>
      <c r="O106" s="3"/>
      <c r="P106" s="3"/>
      <c r="Q106" s="3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4"/>
      <c r="AG106" s="4"/>
      <c r="AJ106" s="11"/>
      <c r="AM106" s="11"/>
      <c r="AN106" s="6"/>
      <c r="AO106"/>
      <c r="AP106"/>
      <c r="AQ106"/>
      <c r="AR106"/>
      <c r="AS106"/>
      <c r="AT106"/>
    </row>
    <row r="107" spans="1:46" x14ac:dyDescent="0.25">
      <c r="A107" s="1"/>
      <c r="B107" s="1"/>
      <c r="C107" s="1"/>
      <c r="D107" s="1"/>
      <c r="E107" s="1"/>
      <c r="F107" s="1"/>
      <c r="G107" s="8"/>
      <c r="H107" s="1"/>
      <c r="I107" s="1"/>
      <c r="J107" s="1"/>
      <c r="K107" s="1"/>
      <c r="L107" s="1"/>
      <c r="M107" s="3"/>
      <c r="N107" s="3"/>
      <c r="O107" s="3"/>
      <c r="P107" s="3"/>
      <c r="Q107" s="3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4"/>
      <c r="AG107" s="4"/>
      <c r="AH107" s="4"/>
      <c r="AI107" s="4"/>
      <c r="AJ107" s="11"/>
      <c r="AK107" s="11"/>
      <c r="AL107" s="10"/>
      <c r="AM107" s="11"/>
      <c r="AN107" s="6"/>
      <c r="AO107"/>
      <c r="AP107"/>
      <c r="AQ107"/>
      <c r="AR107"/>
      <c r="AS107"/>
      <c r="AT107"/>
    </row>
    <row r="108" spans="1:46" x14ac:dyDescent="0.25">
      <c r="A108" s="1"/>
      <c r="B108" s="1"/>
      <c r="C108" s="1"/>
      <c r="D108" s="1"/>
      <c r="E108" s="1"/>
      <c r="F108" s="1"/>
      <c r="G108" s="8"/>
      <c r="H108" s="1"/>
      <c r="I108" s="1"/>
      <c r="J108" s="1"/>
      <c r="K108" s="1"/>
      <c r="L108" s="1"/>
      <c r="M108" s="3"/>
      <c r="N108" s="3"/>
      <c r="O108" s="3"/>
      <c r="P108" s="3"/>
      <c r="Q108" s="3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4"/>
      <c r="AG108" s="4"/>
      <c r="AH108" s="4"/>
      <c r="AI108" s="4"/>
      <c r="AJ108" s="11"/>
      <c r="AK108" s="11"/>
      <c r="AL108" s="10"/>
      <c r="AM108" s="11"/>
      <c r="AN108" s="6"/>
      <c r="AO108"/>
      <c r="AP108"/>
      <c r="AQ108"/>
      <c r="AR108"/>
      <c r="AS108"/>
      <c r="AT108"/>
    </row>
    <row r="109" spans="1:46" x14ac:dyDescent="0.25">
      <c r="A109" s="1"/>
      <c r="B109" s="1"/>
      <c r="C109" s="1"/>
      <c r="D109" s="1"/>
      <c r="E109" s="1"/>
      <c r="F109" s="1"/>
      <c r="G109" s="8"/>
      <c r="H109" s="1"/>
      <c r="I109" s="1"/>
      <c r="J109" s="1"/>
      <c r="K109" s="1"/>
      <c r="L109" s="1"/>
      <c r="M109" s="3"/>
      <c r="N109" s="3"/>
      <c r="O109" s="3"/>
      <c r="P109" s="3"/>
      <c r="Q109" s="3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4"/>
      <c r="AG109" s="4"/>
      <c r="AJ109" s="11"/>
      <c r="AM109" s="11"/>
      <c r="AN109" s="6"/>
      <c r="AO109"/>
      <c r="AP109"/>
      <c r="AQ109"/>
      <c r="AR109"/>
      <c r="AS109"/>
      <c r="AT109"/>
    </row>
    <row r="110" spans="1:46" x14ac:dyDescent="0.25">
      <c r="A110" s="1"/>
      <c r="B110" s="1"/>
      <c r="C110" s="1"/>
      <c r="D110" s="1"/>
      <c r="E110" s="1"/>
      <c r="F110" s="1"/>
      <c r="G110" s="8"/>
      <c r="H110" s="1"/>
      <c r="I110" s="1"/>
      <c r="J110" s="1"/>
      <c r="K110" s="1"/>
      <c r="L110" s="1"/>
      <c r="M110" s="3"/>
      <c r="N110" s="3"/>
      <c r="O110" s="3"/>
      <c r="P110" s="3"/>
      <c r="Q110" s="3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4"/>
      <c r="AG110" s="4"/>
      <c r="AJ110" s="11"/>
      <c r="AM110" s="11"/>
      <c r="AN110" s="6"/>
      <c r="AO110"/>
      <c r="AP110"/>
      <c r="AQ110"/>
      <c r="AR110"/>
      <c r="AS110"/>
      <c r="AT110"/>
    </row>
    <row r="111" spans="1:46" x14ac:dyDescent="0.25">
      <c r="A111" s="1"/>
      <c r="B111" s="1"/>
      <c r="C111" s="1"/>
      <c r="D111" s="1"/>
      <c r="E111" s="1"/>
      <c r="F111" s="1"/>
      <c r="G111" s="8"/>
      <c r="H111" s="1"/>
      <c r="I111" s="1"/>
      <c r="J111" s="1"/>
      <c r="K111" s="1"/>
      <c r="L111" s="1"/>
      <c r="M111" s="3"/>
      <c r="N111" s="3"/>
      <c r="O111" s="3"/>
      <c r="P111" s="3"/>
      <c r="Q111" s="3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4"/>
      <c r="AG111" s="4"/>
      <c r="AJ111" s="11"/>
      <c r="AM111" s="11"/>
      <c r="AN111" s="6"/>
      <c r="AO111"/>
      <c r="AP111"/>
      <c r="AQ111"/>
      <c r="AR111"/>
      <c r="AS111"/>
      <c r="AT111"/>
    </row>
    <row r="112" spans="1:46" x14ac:dyDescent="0.25">
      <c r="A112" s="1"/>
      <c r="B112" s="1"/>
      <c r="C112" s="1"/>
      <c r="D112" s="1"/>
      <c r="E112" s="1"/>
      <c r="F112" s="1"/>
      <c r="G112" s="8"/>
      <c r="H112" s="1"/>
      <c r="I112" s="1"/>
      <c r="J112" s="1"/>
      <c r="K112" s="1"/>
      <c r="L112" s="1"/>
      <c r="M112" s="3"/>
      <c r="N112" s="3"/>
      <c r="O112" s="3"/>
      <c r="P112" s="3"/>
      <c r="Q112" s="3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4"/>
      <c r="AG112" s="4"/>
      <c r="AJ112" s="11"/>
      <c r="AM112" s="11"/>
      <c r="AN112" s="6"/>
      <c r="AO112"/>
      <c r="AP112"/>
      <c r="AQ112"/>
      <c r="AR112"/>
      <c r="AS112"/>
      <c r="AT112"/>
    </row>
    <row r="113" spans="1:46" x14ac:dyDescent="0.25">
      <c r="A113" s="1"/>
      <c r="B113" s="1"/>
      <c r="C113" s="1"/>
      <c r="D113" s="1"/>
      <c r="E113" s="1"/>
      <c r="F113" s="1"/>
      <c r="G113" s="8"/>
      <c r="H113" s="1"/>
      <c r="I113" s="1"/>
      <c r="J113" s="1"/>
      <c r="K113" s="1"/>
      <c r="L113" s="1"/>
      <c r="M113" s="3"/>
      <c r="N113" s="3"/>
      <c r="O113" s="3"/>
      <c r="P113" s="3"/>
      <c r="Q113" s="3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4"/>
      <c r="AG113" s="4"/>
      <c r="AJ113" s="11"/>
      <c r="AM113" s="11"/>
      <c r="AN113" s="6"/>
      <c r="AO113"/>
      <c r="AP113"/>
      <c r="AQ113"/>
      <c r="AR113"/>
      <c r="AS113"/>
      <c r="AT113"/>
    </row>
    <row r="114" spans="1:46" x14ac:dyDescent="0.25">
      <c r="A114" s="1"/>
      <c r="B114" s="1"/>
      <c r="C114" s="1"/>
      <c r="D114" s="1"/>
      <c r="E114" s="1"/>
      <c r="F114" s="1"/>
      <c r="G114" s="8"/>
      <c r="H114" s="1"/>
      <c r="I114" s="1"/>
      <c r="J114" s="1"/>
      <c r="K114" s="1"/>
      <c r="L114" s="1"/>
      <c r="M114" s="3"/>
      <c r="N114" s="3"/>
      <c r="O114" s="3"/>
      <c r="P114" s="3"/>
      <c r="Q114" s="3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4"/>
      <c r="AG114" s="4"/>
      <c r="AJ114" s="11"/>
      <c r="AM114" s="11"/>
      <c r="AN114" s="6"/>
      <c r="AO114"/>
      <c r="AP114"/>
      <c r="AQ114"/>
      <c r="AR114"/>
      <c r="AS114"/>
      <c r="AT114"/>
    </row>
    <row r="115" spans="1:46" x14ac:dyDescent="0.25">
      <c r="A115" s="1"/>
      <c r="B115" s="1"/>
      <c r="C115" s="1"/>
      <c r="D115" s="1"/>
      <c r="E115" s="1"/>
      <c r="F115" s="1"/>
      <c r="G115" s="8"/>
      <c r="H115" s="1"/>
      <c r="I115" s="1"/>
      <c r="J115" s="1"/>
      <c r="K115" s="1"/>
      <c r="L115" s="1"/>
      <c r="M115" s="3"/>
      <c r="N115" s="3"/>
      <c r="O115" s="3"/>
      <c r="P115" s="3"/>
      <c r="Q115" s="3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4"/>
      <c r="AG115" s="4"/>
      <c r="AJ115" s="11"/>
      <c r="AM115" s="11"/>
      <c r="AN115" s="6"/>
      <c r="AO115"/>
      <c r="AP115"/>
      <c r="AQ115"/>
      <c r="AR115"/>
      <c r="AS115"/>
      <c r="AT115"/>
    </row>
    <row r="116" spans="1:46" x14ac:dyDescent="0.25">
      <c r="A116" s="1"/>
      <c r="B116" s="1"/>
      <c r="C116" s="1"/>
      <c r="D116" s="1"/>
      <c r="E116" s="1"/>
      <c r="F116" s="1"/>
      <c r="G116" s="8"/>
      <c r="H116" s="1"/>
      <c r="I116" s="1"/>
      <c r="J116" s="1"/>
      <c r="K116" s="1"/>
      <c r="L116" s="1"/>
      <c r="M116" s="3"/>
      <c r="N116" s="3"/>
      <c r="O116" s="3"/>
      <c r="P116" s="3"/>
      <c r="Q116" s="3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4"/>
      <c r="AG116" s="4"/>
      <c r="AJ116" s="11"/>
      <c r="AM116" s="11"/>
      <c r="AN116" s="6"/>
      <c r="AO116"/>
      <c r="AP116"/>
      <c r="AQ116"/>
      <c r="AR116"/>
      <c r="AS116"/>
      <c r="AT116"/>
    </row>
    <row r="117" spans="1:46" x14ac:dyDescent="0.25">
      <c r="A117" s="1"/>
      <c r="B117" s="1"/>
      <c r="C117" s="1"/>
      <c r="D117" s="1"/>
      <c r="E117" s="1"/>
      <c r="F117" s="1"/>
      <c r="G117" s="8"/>
      <c r="H117" s="1"/>
      <c r="I117" s="1"/>
      <c r="J117" s="1"/>
      <c r="K117" s="1"/>
      <c r="L117" s="1"/>
      <c r="M117" s="3"/>
      <c r="N117" s="3"/>
      <c r="O117" s="3"/>
      <c r="P117" s="3"/>
      <c r="Q117" s="3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4"/>
      <c r="AG117" s="4"/>
      <c r="AJ117" s="11"/>
      <c r="AM117" s="11"/>
      <c r="AN117" s="6"/>
      <c r="AO117"/>
      <c r="AP117"/>
      <c r="AQ117"/>
      <c r="AR117"/>
      <c r="AS117"/>
      <c r="AT117"/>
    </row>
    <row r="118" spans="1:46" x14ac:dyDescent="0.25">
      <c r="A118" s="1"/>
      <c r="B118" s="1"/>
      <c r="C118" s="1"/>
      <c r="D118" s="1"/>
      <c r="E118" s="1"/>
      <c r="F118" s="1"/>
      <c r="G118" s="8"/>
      <c r="H118" s="1"/>
      <c r="I118" s="1"/>
      <c r="J118" s="1"/>
      <c r="K118" s="1"/>
      <c r="L118" s="1"/>
      <c r="M118" s="3"/>
      <c r="N118" s="3"/>
      <c r="O118" s="3"/>
      <c r="P118" s="3"/>
      <c r="Q118" s="3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4"/>
      <c r="AG118" s="4"/>
      <c r="AJ118" s="11"/>
      <c r="AM118" s="11"/>
      <c r="AN118" s="6"/>
      <c r="AO118"/>
      <c r="AP118"/>
      <c r="AQ118"/>
      <c r="AR118"/>
      <c r="AS118"/>
      <c r="AT118"/>
    </row>
    <row r="119" spans="1:46" x14ac:dyDescent="0.25">
      <c r="A119" s="1"/>
      <c r="B119" s="1"/>
      <c r="C119" s="1"/>
      <c r="D119" s="1"/>
      <c r="E119" s="1"/>
      <c r="F119" s="1"/>
      <c r="G119" s="8"/>
      <c r="H119" s="1"/>
      <c r="I119" s="1"/>
      <c r="J119" s="1"/>
      <c r="K119" s="1"/>
      <c r="L119" s="1"/>
      <c r="M119" s="3"/>
      <c r="N119" s="3"/>
      <c r="O119" s="3"/>
      <c r="P119" s="3"/>
      <c r="Q119" s="3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4"/>
      <c r="AG119" s="4"/>
      <c r="AH119" s="4"/>
      <c r="AI119" s="4"/>
      <c r="AJ119" s="11"/>
      <c r="AK119" s="11"/>
      <c r="AL119" s="10"/>
      <c r="AM119" s="11"/>
      <c r="AN119" s="6"/>
      <c r="AO119"/>
      <c r="AP119"/>
      <c r="AQ119"/>
      <c r="AR119"/>
      <c r="AS119"/>
      <c r="AT119"/>
    </row>
    <row r="120" spans="1:46" x14ac:dyDescent="0.25">
      <c r="A120" s="1"/>
      <c r="B120" s="1"/>
      <c r="C120" s="1"/>
      <c r="D120" s="1"/>
      <c r="E120" s="1"/>
      <c r="F120" s="1"/>
      <c r="G120" s="8"/>
      <c r="H120" s="1"/>
      <c r="I120" s="1"/>
      <c r="J120" s="1"/>
      <c r="K120" s="1"/>
      <c r="L120" s="1"/>
      <c r="M120" s="3"/>
      <c r="N120" s="3"/>
      <c r="O120" s="3"/>
      <c r="P120" s="3"/>
      <c r="Q120" s="3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4"/>
      <c r="AG120" s="4"/>
      <c r="AH120" s="4"/>
      <c r="AI120" s="4"/>
      <c r="AJ120" s="11"/>
      <c r="AK120" s="11"/>
      <c r="AL120" s="10"/>
      <c r="AM120" s="11"/>
      <c r="AN120" s="6"/>
      <c r="AO120"/>
      <c r="AP120"/>
      <c r="AQ120"/>
      <c r="AR120"/>
      <c r="AS120"/>
      <c r="AT120"/>
    </row>
    <row r="121" spans="1:46" x14ac:dyDescent="0.25">
      <c r="A121" s="1"/>
      <c r="B121" s="1"/>
      <c r="C121" s="1"/>
      <c r="D121" s="1"/>
      <c r="E121" s="1"/>
      <c r="F121" s="1"/>
      <c r="G121" s="8"/>
      <c r="H121" s="1"/>
      <c r="I121" s="1"/>
      <c r="J121" s="1"/>
      <c r="K121" s="1"/>
      <c r="L121" s="1"/>
      <c r="M121" s="3"/>
      <c r="N121" s="3"/>
      <c r="O121" s="3"/>
      <c r="P121" s="3"/>
      <c r="Q121" s="3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4"/>
      <c r="AG121" s="4"/>
      <c r="AJ121" s="11"/>
      <c r="AM121" s="11"/>
      <c r="AN121" s="6"/>
      <c r="AO121"/>
      <c r="AP121"/>
      <c r="AQ121"/>
      <c r="AR121"/>
      <c r="AS121"/>
      <c r="AT121"/>
    </row>
    <row r="122" spans="1:46" x14ac:dyDescent="0.25">
      <c r="A122" s="1"/>
      <c r="B122" s="1"/>
      <c r="C122" s="1"/>
      <c r="D122" s="1"/>
      <c r="E122" s="1"/>
      <c r="F122" s="1"/>
      <c r="G122" s="8"/>
      <c r="H122" s="1"/>
      <c r="I122" s="1"/>
      <c r="J122" s="1"/>
      <c r="K122" s="1"/>
      <c r="L122" s="1"/>
      <c r="M122" s="3"/>
      <c r="N122" s="3"/>
      <c r="O122" s="3"/>
      <c r="P122" s="3"/>
      <c r="Q122" s="3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4"/>
      <c r="AG122" s="4"/>
      <c r="AJ122" s="11"/>
      <c r="AM122" s="11"/>
      <c r="AN122" s="6"/>
      <c r="AO122"/>
      <c r="AP122"/>
      <c r="AQ122"/>
      <c r="AR122"/>
      <c r="AS122"/>
      <c r="AT122"/>
    </row>
    <row r="123" spans="1:46" x14ac:dyDescent="0.25">
      <c r="A123" s="1"/>
      <c r="B123" s="1"/>
      <c r="C123" s="1"/>
      <c r="D123" s="1"/>
      <c r="E123" s="1"/>
      <c r="F123" s="1"/>
      <c r="G123" s="8"/>
      <c r="H123" s="1"/>
      <c r="I123" s="1"/>
      <c r="J123" s="1"/>
      <c r="K123" s="1"/>
      <c r="L123" s="1"/>
      <c r="M123" s="3"/>
      <c r="N123" s="3"/>
      <c r="O123" s="3"/>
      <c r="P123" s="3"/>
      <c r="Q123" s="3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4"/>
      <c r="AG123" s="4"/>
      <c r="AJ123" s="11"/>
      <c r="AM123" s="11"/>
      <c r="AN123" s="6"/>
      <c r="AO123"/>
      <c r="AP123"/>
      <c r="AQ123"/>
      <c r="AR123"/>
      <c r="AS123"/>
      <c r="AT123"/>
    </row>
    <row r="124" spans="1:46" x14ac:dyDescent="0.25">
      <c r="A124" s="1"/>
      <c r="B124" s="1"/>
      <c r="C124" s="1"/>
      <c r="D124" s="1"/>
      <c r="E124" s="1"/>
      <c r="F124" s="1"/>
      <c r="G124" s="8"/>
      <c r="H124" s="1"/>
      <c r="I124" s="1"/>
      <c r="J124" s="1"/>
      <c r="K124" s="1"/>
      <c r="L124" s="1"/>
      <c r="M124" s="3"/>
      <c r="N124" s="3"/>
      <c r="O124" s="3"/>
      <c r="P124" s="3"/>
      <c r="Q124" s="3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4"/>
      <c r="AG124" s="4"/>
      <c r="AJ124" s="11"/>
      <c r="AM124" s="11"/>
      <c r="AN124" s="6"/>
      <c r="AO124"/>
      <c r="AP124"/>
      <c r="AQ124"/>
      <c r="AR124"/>
      <c r="AS124"/>
      <c r="AT124"/>
    </row>
    <row r="125" spans="1:46" x14ac:dyDescent="0.25">
      <c r="A125" s="1"/>
      <c r="B125" s="1"/>
      <c r="C125" s="1"/>
      <c r="D125" s="1"/>
      <c r="E125" s="1"/>
      <c r="F125" s="1"/>
      <c r="G125" s="8"/>
      <c r="H125" s="1"/>
      <c r="I125" s="1"/>
      <c r="J125" s="1"/>
      <c r="K125" s="1"/>
      <c r="L125" s="1"/>
      <c r="M125" s="3"/>
      <c r="N125" s="3"/>
      <c r="O125" s="3"/>
      <c r="P125" s="3"/>
      <c r="Q125" s="3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4"/>
      <c r="AG125" s="4"/>
      <c r="AJ125" s="11"/>
      <c r="AM125" s="11"/>
      <c r="AN125" s="6"/>
      <c r="AO125"/>
      <c r="AP125"/>
      <c r="AQ125"/>
      <c r="AR125"/>
      <c r="AS125"/>
      <c r="AT125"/>
    </row>
    <row r="126" spans="1:46" x14ac:dyDescent="0.25">
      <c r="A126" s="1"/>
      <c r="B126" s="1"/>
      <c r="C126" s="1"/>
      <c r="D126" s="1"/>
      <c r="E126" s="1"/>
      <c r="F126" s="1"/>
      <c r="G126" s="8"/>
      <c r="H126" s="1"/>
      <c r="I126" s="1"/>
      <c r="J126" s="1"/>
      <c r="K126" s="1"/>
      <c r="L126" s="1"/>
      <c r="M126" s="3"/>
      <c r="N126" s="3"/>
      <c r="O126" s="3"/>
      <c r="P126" s="3"/>
      <c r="Q126" s="3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4"/>
      <c r="AG126" s="4"/>
      <c r="AJ126" s="11"/>
      <c r="AM126" s="11"/>
      <c r="AN126" s="6"/>
      <c r="AO126"/>
      <c r="AP126"/>
      <c r="AQ126"/>
      <c r="AR126"/>
      <c r="AS126"/>
      <c r="AT126"/>
    </row>
    <row r="127" spans="1:46" x14ac:dyDescent="0.25">
      <c r="A127" s="1"/>
      <c r="B127" s="1"/>
      <c r="C127" s="1"/>
      <c r="D127" s="1"/>
      <c r="E127" s="1"/>
      <c r="F127" s="1"/>
      <c r="G127" s="8"/>
      <c r="H127" s="1"/>
      <c r="I127" s="1"/>
      <c r="J127" s="1"/>
      <c r="K127" s="1"/>
      <c r="L127" s="1"/>
      <c r="M127" s="3"/>
      <c r="N127" s="3"/>
      <c r="O127" s="3"/>
      <c r="P127" s="3"/>
      <c r="Q127" s="3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4"/>
      <c r="AG127" s="4"/>
      <c r="AJ127" s="11"/>
      <c r="AM127" s="11"/>
      <c r="AN127" s="6"/>
      <c r="AO127"/>
      <c r="AP127"/>
      <c r="AQ127"/>
      <c r="AR127"/>
      <c r="AS127"/>
      <c r="AT127"/>
    </row>
    <row r="128" spans="1:46" x14ac:dyDescent="0.25">
      <c r="A128" s="1"/>
      <c r="B128" s="1"/>
      <c r="C128" s="1"/>
      <c r="D128" s="1"/>
      <c r="E128" s="1"/>
      <c r="F128" s="1"/>
      <c r="G128" s="8"/>
      <c r="H128" s="1"/>
      <c r="I128" s="1"/>
      <c r="J128" s="1"/>
      <c r="K128" s="1"/>
      <c r="L128" s="1"/>
      <c r="M128" s="3"/>
      <c r="N128" s="3"/>
      <c r="O128" s="3"/>
      <c r="P128" s="3"/>
      <c r="Q128" s="3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4"/>
      <c r="AG128" s="4"/>
      <c r="AJ128" s="11"/>
      <c r="AM128" s="11"/>
      <c r="AN128" s="6"/>
      <c r="AO128"/>
      <c r="AP128"/>
      <c r="AQ128"/>
      <c r="AR128"/>
      <c r="AS128"/>
      <c r="AT128"/>
    </row>
    <row r="129" spans="1:46" x14ac:dyDescent="0.25">
      <c r="A129" s="1"/>
      <c r="B129" s="1"/>
      <c r="C129" s="1"/>
      <c r="D129" s="1"/>
      <c r="E129" s="1"/>
      <c r="F129" s="1"/>
      <c r="G129" s="8"/>
      <c r="H129" s="1"/>
      <c r="I129" s="1"/>
      <c r="J129" s="1"/>
      <c r="K129" s="1"/>
      <c r="L129" s="1"/>
      <c r="M129" s="3"/>
      <c r="N129" s="3"/>
      <c r="O129" s="3"/>
      <c r="P129" s="3"/>
      <c r="Q129" s="3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4"/>
      <c r="AG129" s="4"/>
      <c r="AJ129" s="11"/>
      <c r="AM129" s="11"/>
      <c r="AN129" s="6"/>
      <c r="AO129"/>
      <c r="AP129"/>
      <c r="AQ129"/>
      <c r="AR129"/>
      <c r="AS129"/>
      <c r="AT129"/>
    </row>
    <row r="130" spans="1:46" x14ac:dyDescent="0.25">
      <c r="A130" s="1"/>
      <c r="B130" s="1"/>
      <c r="C130" s="1"/>
      <c r="D130" s="1"/>
      <c r="E130" s="1"/>
      <c r="F130" s="1"/>
      <c r="G130" s="8"/>
      <c r="H130" s="1"/>
      <c r="I130" s="1"/>
      <c r="J130" s="1"/>
      <c r="K130" s="1"/>
      <c r="L130" s="1"/>
      <c r="M130" s="3"/>
      <c r="N130" s="3"/>
      <c r="O130" s="3"/>
      <c r="P130" s="3"/>
      <c r="Q130" s="3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4"/>
      <c r="AG130" s="4"/>
      <c r="AJ130" s="11"/>
      <c r="AM130" s="11"/>
      <c r="AN130" s="6"/>
      <c r="AO130"/>
      <c r="AP130"/>
      <c r="AQ130"/>
      <c r="AR130"/>
      <c r="AS130"/>
      <c r="AT130"/>
    </row>
    <row r="131" spans="1:46" x14ac:dyDescent="0.25">
      <c r="A131" s="1"/>
      <c r="B131" s="1"/>
      <c r="C131" s="1"/>
      <c r="D131" s="1"/>
      <c r="E131" s="1"/>
      <c r="F131" s="1"/>
      <c r="G131" s="8"/>
      <c r="H131" s="1"/>
      <c r="I131" s="1"/>
      <c r="J131" s="1"/>
      <c r="K131" s="1"/>
      <c r="L131" s="1"/>
      <c r="M131" s="3"/>
      <c r="N131" s="3"/>
      <c r="O131" s="3"/>
      <c r="P131" s="3"/>
      <c r="Q131" s="3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4"/>
      <c r="AG131" s="4"/>
      <c r="AJ131" s="11"/>
      <c r="AM131" s="11"/>
      <c r="AN131" s="6"/>
      <c r="AO131"/>
      <c r="AP131"/>
      <c r="AQ131"/>
      <c r="AR131"/>
      <c r="AS131"/>
      <c r="AT131"/>
    </row>
    <row r="132" spans="1:46" x14ac:dyDescent="0.25">
      <c r="A132" s="1"/>
      <c r="B132" s="1"/>
      <c r="C132" s="1"/>
      <c r="D132" s="1"/>
      <c r="E132" s="1"/>
      <c r="F132" s="1"/>
      <c r="G132" s="8"/>
      <c r="H132" s="1"/>
      <c r="I132" s="1"/>
      <c r="J132" s="1"/>
      <c r="K132" s="1"/>
      <c r="L132" s="1"/>
      <c r="M132" s="3"/>
      <c r="N132" s="3"/>
      <c r="O132" s="3"/>
      <c r="P132" s="3"/>
      <c r="Q132" s="3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4"/>
      <c r="AG132" s="4"/>
      <c r="AJ132" s="11"/>
      <c r="AM132" s="11"/>
      <c r="AN132" s="6"/>
      <c r="AO132"/>
      <c r="AP132"/>
      <c r="AQ132"/>
      <c r="AR132"/>
      <c r="AS132"/>
      <c r="AT132"/>
    </row>
    <row r="133" spans="1:46" x14ac:dyDescent="0.25">
      <c r="A133" s="1"/>
      <c r="B133" s="1"/>
      <c r="C133" s="1"/>
      <c r="D133" s="1"/>
      <c r="E133" s="1"/>
      <c r="F133" s="1"/>
      <c r="G133" s="8"/>
      <c r="H133" s="1"/>
      <c r="I133" s="1"/>
      <c r="J133" s="1"/>
      <c r="K133" s="1"/>
      <c r="L133" s="1"/>
      <c r="M133" s="3"/>
      <c r="N133" s="3"/>
      <c r="O133" s="3"/>
      <c r="P133" s="3"/>
      <c r="Q133" s="3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4"/>
      <c r="AG133" s="4"/>
      <c r="AJ133" s="11"/>
      <c r="AM133" s="11"/>
      <c r="AN133" s="6"/>
      <c r="AO133"/>
      <c r="AP133"/>
      <c r="AQ133"/>
      <c r="AR133"/>
      <c r="AS133"/>
      <c r="AT133"/>
    </row>
    <row r="134" spans="1:46" x14ac:dyDescent="0.25">
      <c r="A134" s="1"/>
      <c r="B134" s="1"/>
      <c r="C134" s="1"/>
      <c r="D134" s="1"/>
      <c r="E134" s="1"/>
      <c r="F134" s="1"/>
      <c r="G134" s="8"/>
      <c r="H134" s="1"/>
      <c r="I134" s="1"/>
      <c r="J134" s="1"/>
      <c r="K134" s="1"/>
      <c r="L134" s="1"/>
      <c r="M134" s="3"/>
      <c r="N134" s="3"/>
      <c r="O134" s="3"/>
      <c r="P134" s="3"/>
      <c r="Q134" s="3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4"/>
      <c r="AG134" s="4"/>
      <c r="AJ134" s="11"/>
      <c r="AM134" s="11"/>
      <c r="AN134" s="6"/>
      <c r="AO134"/>
      <c r="AP134"/>
      <c r="AQ134"/>
      <c r="AR134"/>
      <c r="AS134"/>
      <c r="AT134"/>
    </row>
    <row r="135" spans="1:46" x14ac:dyDescent="0.25">
      <c r="A135" s="1"/>
      <c r="B135" s="1"/>
      <c r="C135" s="1"/>
      <c r="D135" s="1"/>
      <c r="E135" s="1"/>
      <c r="F135" s="1"/>
      <c r="G135" s="8"/>
      <c r="H135" s="1"/>
      <c r="I135" s="1"/>
      <c r="J135" s="1"/>
      <c r="K135" s="1"/>
      <c r="L135" s="1"/>
      <c r="M135" s="3"/>
      <c r="N135" s="3"/>
      <c r="O135" s="3"/>
      <c r="P135" s="3"/>
      <c r="Q135" s="3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4"/>
      <c r="AG135" s="4"/>
      <c r="AJ135" s="11"/>
      <c r="AM135" s="11"/>
      <c r="AN135" s="6"/>
      <c r="AO135"/>
      <c r="AP135"/>
      <c r="AQ135"/>
      <c r="AR135"/>
      <c r="AS135"/>
      <c r="AT135"/>
    </row>
    <row r="136" spans="1:46" x14ac:dyDescent="0.25">
      <c r="A136" s="1"/>
      <c r="B136" s="1"/>
      <c r="C136" s="1"/>
      <c r="D136" s="1"/>
      <c r="E136" s="1"/>
      <c r="F136" s="1"/>
      <c r="G136" s="8"/>
      <c r="H136" s="1"/>
      <c r="I136" s="1"/>
      <c r="J136" s="1"/>
      <c r="K136" s="1"/>
      <c r="L136" s="1"/>
      <c r="M136" s="3"/>
      <c r="N136" s="3"/>
      <c r="O136" s="3"/>
      <c r="P136" s="3"/>
      <c r="Q136" s="3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4"/>
      <c r="AG136" s="4"/>
      <c r="AJ136" s="11"/>
      <c r="AM136" s="11"/>
      <c r="AN136" s="6"/>
      <c r="AO136"/>
      <c r="AP136"/>
      <c r="AQ136"/>
      <c r="AR136"/>
      <c r="AS136"/>
      <c r="AT136"/>
    </row>
    <row r="137" spans="1:46" x14ac:dyDescent="0.25">
      <c r="A137" s="1"/>
      <c r="B137" s="1"/>
      <c r="C137" s="1"/>
      <c r="D137" s="1"/>
      <c r="E137" s="1"/>
      <c r="F137" s="1"/>
      <c r="G137" s="8"/>
      <c r="H137" s="1"/>
      <c r="I137" s="1"/>
      <c r="J137" s="1"/>
      <c r="K137" s="1"/>
      <c r="L137" s="1"/>
      <c r="M137" s="3"/>
      <c r="N137" s="3"/>
      <c r="O137" s="3"/>
      <c r="P137" s="3"/>
      <c r="Q137" s="3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4"/>
      <c r="AG137" s="4"/>
      <c r="AJ137" s="11"/>
      <c r="AM137" s="11"/>
      <c r="AN137" s="6"/>
      <c r="AO137"/>
      <c r="AP137"/>
      <c r="AQ137"/>
      <c r="AR137"/>
      <c r="AS137"/>
      <c r="AT137"/>
    </row>
    <row r="138" spans="1:46" x14ac:dyDescent="0.25">
      <c r="A138" s="1"/>
      <c r="B138" s="1"/>
      <c r="C138" s="1"/>
      <c r="D138" s="1"/>
      <c r="E138" s="1"/>
      <c r="F138" s="1"/>
      <c r="G138" s="8"/>
      <c r="H138" s="1"/>
      <c r="I138" s="1"/>
      <c r="J138" s="1"/>
      <c r="K138" s="1"/>
      <c r="L138" s="1"/>
      <c r="M138" s="3"/>
      <c r="N138" s="3"/>
      <c r="O138" s="3"/>
      <c r="P138" s="3"/>
      <c r="Q138" s="3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4"/>
      <c r="AG138" s="4"/>
      <c r="AJ138" s="11"/>
      <c r="AM138" s="11"/>
      <c r="AN138" s="6"/>
      <c r="AO138"/>
      <c r="AP138"/>
      <c r="AQ138"/>
      <c r="AR138"/>
      <c r="AS138"/>
      <c r="AT138"/>
    </row>
    <row r="139" spans="1:46" x14ac:dyDescent="0.25">
      <c r="A139" s="1"/>
      <c r="B139" s="1"/>
      <c r="C139" s="1"/>
      <c r="D139" s="1"/>
      <c r="E139" s="1"/>
      <c r="F139" s="1"/>
      <c r="G139" s="8"/>
      <c r="H139" s="1"/>
      <c r="I139" s="1"/>
      <c r="J139" s="1"/>
      <c r="K139" s="1"/>
      <c r="L139" s="1"/>
      <c r="M139" s="3"/>
      <c r="N139" s="3"/>
      <c r="O139" s="3"/>
      <c r="P139" s="3"/>
      <c r="Q139" s="3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4"/>
      <c r="AG139" s="4"/>
      <c r="AJ139" s="11"/>
      <c r="AM139" s="11"/>
      <c r="AN139" s="6"/>
      <c r="AO139"/>
      <c r="AP139"/>
      <c r="AQ139"/>
      <c r="AR139"/>
      <c r="AS139"/>
      <c r="AT139"/>
    </row>
    <row r="140" spans="1:46" x14ac:dyDescent="0.25">
      <c r="A140" s="1"/>
      <c r="B140" s="1"/>
      <c r="C140" s="1"/>
      <c r="D140" s="1"/>
      <c r="E140" s="1"/>
      <c r="F140" s="1"/>
      <c r="G140" s="8"/>
      <c r="H140" s="1"/>
      <c r="I140" s="1"/>
      <c r="J140" s="1"/>
      <c r="K140" s="1"/>
      <c r="L140" s="1"/>
      <c r="M140" s="3"/>
      <c r="N140" s="3"/>
      <c r="O140" s="3"/>
      <c r="P140" s="3"/>
      <c r="Q140" s="3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4"/>
      <c r="AG140" s="4"/>
      <c r="AJ140" s="11"/>
      <c r="AM140" s="11"/>
      <c r="AN140" s="6"/>
      <c r="AO140"/>
      <c r="AP140"/>
      <c r="AQ140"/>
      <c r="AR140"/>
      <c r="AS140"/>
      <c r="AT140"/>
    </row>
    <row r="141" spans="1:46" x14ac:dyDescent="0.25">
      <c r="A141" s="1"/>
      <c r="B141" s="1"/>
      <c r="C141" s="1"/>
      <c r="D141" s="1"/>
      <c r="E141" s="1"/>
      <c r="F141" s="1"/>
      <c r="G141" s="8"/>
      <c r="H141" s="1"/>
      <c r="I141" s="1"/>
      <c r="J141" s="1"/>
      <c r="K141" s="1"/>
      <c r="L141" s="1"/>
      <c r="M141" s="3"/>
      <c r="N141" s="3"/>
      <c r="O141" s="3"/>
      <c r="P141" s="3"/>
      <c r="Q141" s="3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4"/>
      <c r="AG141" s="4"/>
      <c r="AJ141" s="11"/>
      <c r="AM141" s="11"/>
      <c r="AN141" s="6"/>
      <c r="AO141"/>
      <c r="AP141"/>
      <c r="AQ141"/>
      <c r="AR141"/>
      <c r="AS141"/>
      <c r="AT141"/>
    </row>
    <row r="142" spans="1:46" x14ac:dyDescent="0.25">
      <c r="A142" s="1"/>
      <c r="B142" s="1"/>
      <c r="C142" s="1"/>
      <c r="D142" s="1"/>
      <c r="E142" s="1"/>
      <c r="F142" s="1"/>
      <c r="G142" s="8"/>
      <c r="H142" s="1"/>
      <c r="I142" s="1"/>
      <c r="J142" s="1"/>
      <c r="K142" s="1"/>
      <c r="L142" s="1"/>
      <c r="M142" s="3"/>
      <c r="N142" s="3"/>
      <c r="O142" s="3"/>
      <c r="P142" s="3"/>
      <c r="Q142" s="3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4"/>
      <c r="AG142" s="4"/>
      <c r="AJ142" s="11"/>
      <c r="AM142" s="11"/>
      <c r="AN142" s="6"/>
      <c r="AO142"/>
      <c r="AP142"/>
      <c r="AQ142"/>
      <c r="AR142"/>
      <c r="AS142"/>
      <c r="AT142"/>
    </row>
    <row r="143" spans="1:46" x14ac:dyDescent="0.25">
      <c r="A143" s="1"/>
      <c r="B143" s="1"/>
      <c r="C143" s="1"/>
      <c r="D143" s="1"/>
      <c r="E143" s="1"/>
      <c r="F143" s="1"/>
      <c r="G143" s="8"/>
      <c r="H143" s="1"/>
      <c r="I143" s="1"/>
      <c r="J143" s="1"/>
      <c r="K143" s="1"/>
      <c r="L143" s="1"/>
      <c r="M143" s="3"/>
      <c r="N143" s="3"/>
      <c r="O143" s="3"/>
      <c r="P143" s="3"/>
      <c r="Q143" s="3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4"/>
      <c r="AG143" s="4"/>
      <c r="AJ143" s="11"/>
      <c r="AM143" s="11"/>
      <c r="AN143" s="6"/>
      <c r="AO143"/>
      <c r="AP143"/>
      <c r="AQ143"/>
      <c r="AR143"/>
      <c r="AS143"/>
      <c r="AT143"/>
    </row>
    <row r="144" spans="1:46" x14ac:dyDescent="0.25">
      <c r="A144" s="1"/>
      <c r="B144" s="1"/>
      <c r="C144" s="1"/>
      <c r="D144" s="1"/>
      <c r="E144" s="1"/>
      <c r="F144" s="1"/>
      <c r="G144" s="8"/>
      <c r="H144" s="1"/>
      <c r="I144" s="1"/>
      <c r="J144" s="1"/>
      <c r="K144" s="1"/>
      <c r="L144" s="1"/>
      <c r="M144" s="3"/>
      <c r="N144" s="3"/>
      <c r="O144" s="3"/>
      <c r="P144" s="3"/>
      <c r="Q144" s="3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4"/>
      <c r="AG144" s="4"/>
      <c r="AJ144" s="11"/>
      <c r="AM144" s="11"/>
      <c r="AN144" s="6"/>
      <c r="AO144"/>
      <c r="AP144"/>
      <c r="AQ144"/>
      <c r="AR144"/>
      <c r="AS144"/>
      <c r="AT144"/>
    </row>
    <row r="145" spans="1:46" x14ac:dyDescent="0.25">
      <c r="A145" s="1"/>
      <c r="B145" s="1"/>
      <c r="C145" s="1"/>
      <c r="D145" s="1"/>
      <c r="E145" s="1"/>
      <c r="F145" s="1"/>
      <c r="G145" s="8"/>
      <c r="H145" s="1"/>
      <c r="I145" s="1"/>
      <c r="J145" s="1"/>
      <c r="K145" s="1"/>
      <c r="L145" s="1"/>
      <c r="M145" s="3"/>
      <c r="N145" s="3"/>
      <c r="O145" s="3"/>
      <c r="P145" s="3"/>
      <c r="Q145" s="3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4"/>
      <c r="AG145" s="4"/>
      <c r="AJ145" s="11"/>
      <c r="AM145" s="11"/>
      <c r="AN145" s="6"/>
      <c r="AO145"/>
      <c r="AP145"/>
      <c r="AQ145"/>
      <c r="AR145"/>
      <c r="AS145"/>
      <c r="AT145"/>
    </row>
    <row r="146" spans="1:46" x14ac:dyDescent="0.25">
      <c r="A146" s="1"/>
      <c r="B146" s="1"/>
      <c r="C146" s="1"/>
      <c r="D146" s="1"/>
      <c r="E146" s="1"/>
      <c r="F146" s="1"/>
      <c r="G146" s="8"/>
      <c r="H146" s="1"/>
      <c r="I146" s="1"/>
      <c r="J146" s="1"/>
      <c r="K146" s="1"/>
      <c r="L146" s="1"/>
      <c r="M146" s="3"/>
      <c r="N146" s="3"/>
      <c r="O146" s="3"/>
      <c r="P146" s="3"/>
      <c r="Q146" s="3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4"/>
      <c r="AG146" s="4"/>
      <c r="AJ146" s="11"/>
      <c r="AM146" s="11"/>
      <c r="AN146" s="6"/>
      <c r="AO146"/>
      <c r="AP146"/>
      <c r="AQ146"/>
      <c r="AR146"/>
      <c r="AS146"/>
      <c r="AT146"/>
    </row>
    <row r="147" spans="1:46" x14ac:dyDescent="0.25">
      <c r="A147" s="1"/>
      <c r="B147" s="1"/>
      <c r="C147" s="1"/>
      <c r="D147" s="1"/>
      <c r="E147" s="1"/>
      <c r="F147" s="1"/>
      <c r="G147" s="8"/>
      <c r="H147" s="1"/>
      <c r="I147" s="1"/>
      <c r="J147" s="1"/>
      <c r="K147" s="1"/>
      <c r="L147" s="1"/>
      <c r="M147" s="3"/>
      <c r="N147" s="3"/>
      <c r="O147" s="3"/>
      <c r="P147" s="3"/>
      <c r="Q147" s="3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4"/>
      <c r="AG147" s="4"/>
      <c r="AJ147" s="11"/>
      <c r="AM147" s="11"/>
      <c r="AN147" s="6"/>
      <c r="AO147"/>
      <c r="AP147"/>
      <c r="AQ147"/>
      <c r="AR147"/>
      <c r="AS147"/>
      <c r="AT147"/>
    </row>
    <row r="148" spans="1:46" x14ac:dyDescent="0.25">
      <c r="A148" s="1"/>
      <c r="B148" s="1"/>
      <c r="C148" s="1"/>
      <c r="D148" s="1"/>
      <c r="E148" s="1"/>
      <c r="F148" s="1"/>
      <c r="G148" s="8"/>
      <c r="H148" s="1"/>
      <c r="I148" s="1"/>
      <c r="J148" s="1"/>
      <c r="K148" s="1"/>
      <c r="L148" s="1"/>
      <c r="M148" s="3"/>
      <c r="N148" s="3"/>
      <c r="O148" s="3"/>
      <c r="P148" s="3"/>
      <c r="Q148" s="3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4"/>
      <c r="AG148" s="4"/>
      <c r="AJ148" s="11"/>
      <c r="AM148" s="11"/>
      <c r="AN148" s="6"/>
      <c r="AO148"/>
      <c r="AP148"/>
      <c r="AQ148"/>
      <c r="AR148"/>
      <c r="AS148"/>
      <c r="AT148"/>
    </row>
    <row r="149" spans="1:46" x14ac:dyDescent="0.25">
      <c r="A149" s="1"/>
      <c r="B149" s="1"/>
      <c r="C149" s="1"/>
      <c r="D149" s="1"/>
      <c r="E149" s="1"/>
      <c r="F149" s="1"/>
      <c r="G149" s="8"/>
      <c r="H149" s="1"/>
      <c r="I149" s="1"/>
      <c r="J149" s="1"/>
      <c r="K149" s="1"/>
      <c r="L149" s="1"/>
      <c r="M149" s="3"/>
      <c r="N149" s="3"/>
      <c r="O149" s="3"/>
      <c r="P149" s="3"/>
      <c r="Q149" s="3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4"/>
      <c r="AG149" s="4"/>
      <c r="AJ149" s="11"/>
      <c r="AM149" s="11"/>
      <c r="AN149" s="6"/>
      <c r="AO149"/>
      <c r="AP149"/>
      <c r="AQ149"/>
      <c r="AR149"/>
      <c r="AS149"/>
      <c r="AT149"/>
    </row>
    <row r="150" spans="1:46" x14ac:dyDescent="0.25">
      <c r="A150" s="1"/>
      <c r="B150" s="1"/>
      <c r="C150" s="1"/>
      <c r="D150" s="1"/>
      <c r="E150" s="1"/>
      <c r="F150" s="1"/>
      <c r="G150" s="8"/>
      <c r="H150" s="1"/>
      <c r="I150" s="1"/>
      <c r="J150" s="1"/>
      <c r="K150" s="1"/>
      <c r="L150" s="1"/>
      <c r="M150" s="3"/>
      <c r="N150" s="3"/>
      <c r="O150" s="3"/>
      <c r="P150" s="3"/>
      <c r="Q150" s="3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4"/>
      <c r="AG150" s="4"/>
      <c r="AJ150" s="11"/>
      <c r="AM150" s="11"/>
      <c r="AN150" s="6"/>
      <c r="AO150"/>
      <c r="AP150"/>
      <c r="AQ150"/>
      <c r="AR150"/>
      <c r="AS150"/>
      <c r="AT150"/>
    </row>
    <row r="151" spans="1:46" x14ac:dyDescent="0.25">
      <c r="A151" s="1"/>
      <c r="B151" s="1"/>
      <c r="C151" s="1"/>
      <c r="D151" s="1"/>
      <c r="E151" s="1"/>
      <c r="F151" s="1"/>
      <c r="G151" s="8"/>
      <c r="H151" s="1"/>
      <c r="I151" s="1"/>
      <c r="J151" s="1"/>
      <c r="K151" s="1"/>
      <c r="L151" s="1"/>
      <c r="M151" s="3"/>
      <c r="N151" s="3"/>
      <c r="O151" s="3"/>
      <c r="P151" s="3"/>
      <c r="Q151" s="3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4"/>
      <c r="AG151" s="4"/>
      <c r="AJ151" s="11"/>
      <c r="AM151" s="11"/>
      <c r="AN151" s="6"/>
      <c r="AO151"/>
      <c r="AP151"/>
      <c r="AQ151"/>
      <c r="AR151"/>
      <c r="AS151"/>
      <c r="AT151"/>
    </row>
    <row r="152" spans="1:46" x14ac:dyDescent="0.25">
      <c r="A152" s="1"/>
      <c r="B152" s="1"/>
      <c r="C152" s="1"/>
      <c r="D152" s="1"/>
      <c r="E152" s="1"/>
      <c r="F152" s="1"/>
      <c r="G152" s="8"/>
      <c r="H152" s="1"/>
      <c r="I152" s="1"/>
      <c r="J152" s="1"/>
      <c r="K152" s="1"/>
      <c r="L152" s="1"/>
      <c r="M152" s="3"/>
      <c r="N152" s="3"/>
      <c r="O152" s="3"/>
      <c r="P152" s="3"/>
      <c r="Q152" s="3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4"/>
      <c r="AG152" s="4"/>
      <c r="AJ152" s="11"/>
      <c r="AM152" s="11"/>
      <c r="AN152" s="6"/>
      <c r="AO152"/>
      <c r="AP152"/>
      <c r="AQ152"/>
      <c r="AR152"/>
      <c r="AS152"/>
      <c r="AT152"/>
    </row>
    <row r="153" spans="1:46" x14ac:dyDescent="0.25">
      <c r="A153" s="1"/>
      <c r="B153" s="1"/>
      <c r="C153" s="1"/>
      <c r="D153" s="1"/>
      <c r="E153" s="1"/>
      <c r="F153" s="1"/>
      <c r="G153" s="8"/>
      <c r="H153" s="1"/>
      <c r="I153" s="1"/>
      <c r="J153" s="1"/>
      <c r="K153" s="1"/>
      <c r="L153" s="1"/>
      <c r="M153" s="3"/>
      <c r="N153" s="3"/>
      <c r="O153" s="3"/>
      <c r="P153" s="3"/>
      <c r="Q153" s="3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4"/>
      <c r="AG153" s="4"/>
      <c r="AJ153" s="11"/>
      <c r="AM153" s="11"/>
      <c r="AN153" s="6"/>
      <c r="AO153"/>
      <c r="AP153"/>
      <c r="AQ153"/>
      <c r="AR153"/>
      <c r="AS153"/>
      <c r="AT153"/>
    </row>
    <row r="154" spans="1:46" x14ac:dyDescent="0.25">
      <c r="A154" s="1"/>
      <c r="B154" s="1"/>
      <c r="C154" s="1"/>
      <c r="D154" s="1"/>
      <c r="E154" s="1"/>
      <c r="F154" s="1"/>
      <c r="G154" s="8"/>
      <c r="H154" s="1"/>
      <c r="I154" s="1"/>
      <c r="J154" s="1"/>
      <c r="K154" s="1"/>
      <c r="L154" s="1"/>
      <c r="M154" s="3"/>
      <c r="N154" s="3"/>
      <c r="O154" s="3"/>
      <c r="P154" s="3"/>
      <c r="Q154" s="3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4"/>
      <c r="AG154" s="4"/>
      <c r="AJ154" s="11"/>
      <c r="AM154" s="11"/>
      <c r="AN154" s="6"/>
      <c r="AO154"/>
      <c r="AP154"/>
      <c r="AQ154"/>
      <c r="AR154"/>
      <c r="AS154"/>
      <c r="AT154"/>
    </row>
    <row r="155" spans="1:46" x14ac:dyDescent="0.25">
      <c r="A155" s="1"/>
      <c r="B155" s="1"/>
      <c r="C155" s="1"/>
      <c r="D155" s="1"/>
      <c r="E155" s="1"/>
      <c r="F155" s="1"/>
      <c r="G155" s="8"/>
      <c r="H155" s="1"/>
      <c r="I155" s="1"/>
      <c r="J155" s="1"/>
      <c r="K155" s="1"/>
      <c r="L155" s="1"/>
      <c r="M155" s="3"/>
      <c r="N155" s="3"/>
      <c r="O155" s="3"/>
      <c r="P155" s="3"/>
      <c r="Q155" s="3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4"/>
      <c r="AG155" s="4"/>
      <c r="AJ155" s="11"/>
      <c r="AM155" s="11"/>
      <c r="AN155" s="6"/>
      <c r="AO155"/>
      <c r="AP155"/>
      <c r="AQ155"/>
      <c r="AR155"/>
      <c r="AS155"/>
      <c r="AT155"/>
    </row>
    <row r="156" spans="1:46" x14ac:dyDescent="0.25">
      <c r="A156" s="1"/>
      <c r="B156" s="1"/>
      <c r="C156" s="1"/>
      <c r="D156" s="1"/>
      <c r="E156" s="1"/>
      <c r="F156" s="1"/>
      <c r="G156" s="8"/>
      <c r="H156" s="1"/>
      <c r="I156" s="1"/>
      <c r="J156" s="1"/>
      <c r="K156" s="1"/>
      <c r="L156" s="1"/>
      <c r="M156" s="3"/>
      <c r="N156" s="3"/>
      <c r="O156" s="3"/>
      <c r="P156" s="3"/>
      <c r="Q156" s="3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4"/>
      <c r="AG156" s="4"/>
      <c r="AJ156" s="11"/>
      <c r="AM156" s="11"/>
      <c r="AN156" s="6"/>
      <c r="AO156"/>
      <c r="AP156"/>
      <c r="AQ156"/>
      <c r="AR156"/>
      <c r="AS156"/>
      <c r="AT156"/>
    </row>
    <row r="157" spans="1:46" x14ac:dyDescent="0.25">
      <c r="A157" s="1"/>
      <c r="B157" s="1"/>
      <c r="C157" s="1"/>
      <c r="D157" s="1"/>
      <c r="E157" s="1"/>
      <c r="F157" s="1"/>
      <c r="G157" s="8"/>
      <c r="H157" s="1"/>
      <c r="I157" s="1"/>
      <c r="J157" s="1"/>
      <c r="K157" s="1"/>
      <c r="L157" s="1"/>
      <c r="M157" s="3"/>
      <c r="N157" s="3"/>
      <c r="O157" s="3"/>
      <c r="P157" s="3"/>
      <c r="Q157" s="3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4"/>
      <c r="AG157" s="4"/>
      <c r="AJ157" s="11"/>
      <c r="AM157" s="11"/>
      <c r="AN157" s="6"/>
      <c r="AO157"/>
      <c r="AP157"/>
      <c r="AQ157"/>
      <c r="AR157"/>
      <c r="AS157"/>
      <c r="AT157"/>
    </row>
    <row r="158" spans="1:46" x14ac:dyDescent="0.25">
      <c r="A158" s="1"/>
      <c r="B158" s="1"/>
      <c r="C158" s="1"/>
      <c r="D158" s="1"/>
      <c r="E158" s="1"/>
      <c r="F158" s="1"/>
      <c r="G158" s="8"/>
      <c r="H158" s="1"/>
      <c r="I158" s="1"/>
      <c r="J158" s="1"/>
      <c r="K158" s="1"/>
      <c r="L158" s="1"/>
      <c r="M158" s="3"/>
      <c r="N158" s="3"/>
      <c r="O158" s="3"/>
      <c r="P158" s="3"/>
      <c r="Q158" s="3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4"/>
      <c r="AG158" s="4"/>
      <c r="AJ158" s="11"/>
      <c r="AM158" s="11"/>
      <c r="AN158" s="6"/>
      <c r="AO158"/>
      <c r="AP158"/>
      <c r="AQ158"/>
      <c r="AR158"/>
      <c r="AS158"/>
      <c r="AT158"/>
    </row>
    <row r="159" spans="1:46" x14ac:dyDescent="0.25">
      <c r="A159" s="1"/>
      <c r="B159" s="1"/>
      <c r="C159" s="1"/>
      <c r="D159" s="1"/>
      <c r="E159" s="1"/>
      <c r="F159" s="1"/>
      <c r="G159" s="8"/>
      <c r="H159" s="1"/>
      <c r="I159" s="1"/>
      <c r="J159" s="1"/>
      <c r="K159" s="1"/>
      <c r="L159" s="1"/>
      <c r="M159" s="3"/>
      <c r="N159" s="3"/>
      <c r="O159" s="3"/>
      <c r="P159" s="3"/>
      <c r="Q159" s="3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4"/>
      <c r="AG159" s="4"/>
      <c r="AJ159" s="11"/>
      <c r="AM159" s="11"/>
      <c r="AN159" s="6"/>
      <c r="AO159"/>
      <c r="AP159"/>
      <c r="AQ159"/>
      <c r="AR159"/>
      <c r="AS159"/>
      <c r="AT159"/>
    </row>
    <row r="160" spans="1:46" x14ac:dyDescent="0.25">
      <c r="A160" s="1"/>
      <c r="B160" s="1"/>
      <c r="C160" s="1"/>
      <c r="D160" s="1"/>
      <c r="E160" s="1"/>
      <c r="F160" s="1"/>
      <c r="G160" s="8"/>
      <c r="H160" s="1"/>
      <c r="I160" s="1"/>
      <c r="J160" s="1"/>
      <c r="K160" s="1"/>
      <c r="L160" s="1"/>
      <c r="M160" s="3"/>
      <c r="N160" s="3"/>
      <c r="O160" s="3"/>
      <c r="P160" s="3"/>
      <c r="Q160" s="3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4"/>
      <c r="AG160" s="4"/>
      <c r="AH160" s="4"/>
      <c r="AI160" s="4"/>
      <c r="AJ160" s="11"/>
      <c r="AK160" s="11"/>
      <c r="AL160" s="10"/>
      <c r="AM160" s="11"/>
      <c r="AN160" s="6"/>
      <c r="AO160"/>
      <c r="AP160"/>
      <c r="AQ160"/>
      <c r="AR160"/>
      <c r="AS160"/>
      <c r="AT160"/>
    </row>
    <row r="161" spans="1:46" x14ac:dyDescent="0.25">
      <c r="A161" s="1"/>
      <c r="B161" s="1"/>
      <c r="C161" s="1"/>
      <c r="D161" s="1"/>
      <c r="E161" s="1"/>
      <c r="F161" s="1"/>
      <c r="G161" s="8"/>
      <c r="H161" s="1"/>
      <c r="I161" s="1"/>
      <c r="J161" s="1"/>
      <c r="K161" s="1"/>
      <c r="L161" s="1"/>
      <c r="M161" s="3"/>
      <c r="N161" s="3"/>
      <c r="O161" s="3"/>
      <c r="P161" s="3"/>
      <c r="Q161" s="3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4"/>
      <c r="AG161" s="4"/>
      <c r="AH161" s="4"/>
      <c r="AI161" s="4"/>
      <c r="AJ161" s="11"/>
      <c r="AK161" s="11"/>
      <c r="AL161" s="10"/>
      <c r="AM161" s="11"/>
      <c r="AN161" s="6"/>
      <c r="AO161"/>
      <c r="AP161"/>
      <c r="AQ161"/>
      <c r="AR161"/>
      <c r="AS161"/>
      <c r="AT161"/>
    </row>
    <row r="162" spans="1:46" x14ac:dyDescent="0.25">
      <c r="A162" s="1"/>
      <c r="B162" s="1"/>
      <c r="C162" s="1"/>
      <c r="D162" s="1"/>
      <c r="E162" s="1"/>
      <c r="F162" s="1"/>
      <c r="G162" s="8"/>
      <c r="H162" s="1"/>
      <c r="I162" s="1"/>
      <c r="J162" s="1"/>
      <c r="K162" s="1"/>
      <c r="L162" s="1"/>
      <c r="M162" s="3"/>
      <c r="N162" s="3"/>
      <c r="O162" s="3"/>
      <c r="P162" s="3"/>
      <c r="Q162" s="3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4"/>
      <c r="AG162" s="4"/>
      <c r="AJ162" s="11"/>
      <c r="AM162" s="11"/>
      <c r="AN162" s="6"/>
      <c r="AO162"/>
      <c r="AP162"/>
      <c r="AQ162"/>
      <c r="AR162"/>
      <c r="AS162"/>
      <c r="AT162"/>
    </row>
    <row r="163" spans="1:46" x14ac:dyDescent="0.25">
      <c r="A163" s="1"/>
      <c r="B163" s="1"/>
      <c r="C163" s="1"/>
      <c r="D163" s="1"/>
      <c r="E163" s="1"/>
      <c r="F163" s="1"/>
      <c r="G163" s="8"/>
      <c r="H163" s="1"/>
      <c r="I163" s="1"/>
      <c r="J163" s="1"/>
      <c r="K163" s="1"/>
      <c r="L163" s="1"/>
      <c r="M163" s="3"/>
      <c r="N163" s="3"/>
      <c r="O163" s="3"/>
      <c r="P163" s="3"/>
      <c r="Q163" s="3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4"/>
      <c r="AG163" s="4"/>
      <c r="AJ163" s="11"/>
      <c r="AM163" s="11"/>
      <c r="AN163" s="6"/>
      <c r="AO163"/>
      <c r="AP163"/>
      <c r="AQ163"/>
      <c r="AR163"/>
      <c r="AS163"/>
      <c r="AT163"/>
    </row>
    <row r="164" spans="1:46" x14ac:dyDescent="0.25">
      <c r="A164" s="1"/>
      <c r="B164" s="1"/>
      <c r="C164" s="1"/>
      <c r="D164" s="1"/>
      <c r="E164" s="1"/>
      <c r="F164" s="1"/>
      <c r="G164" s="8"/>
      <c r="H164" s="1"/>
      <c r="I164" s="1"/>
      <c r="J164" s="1"/>
      <c r="K164" s="1"/>
      <c r="L164" s="1"/>
      <c r="M164" s="3"/>
      <c r="N164" s="3"/>
      <c r="O164" s="3"/>
      <c r="P164" s="3"/>
      <c r="Q164" s="3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4"/>
      <c r="AG164" s="4"/>
      <c r="AJ164" s="11"/>
      <c r="AM164" s="11"/>
      <c r="AN164" s="6"/>
      <c r="AO164"/>
      <c r="AP164"/>
      <c r="AQ164"/>
      <c r="AR164"/>
      <c r="AS164"/>
      <c r="AT164"/>
    </row>
    <row r="165" spans="1:46" x14ac:dyDescent="0.25">
      <c r="A165" s="1"/>
      <c r="B165" s="1"/>
      <c r="C165" s="1"/>
      <c r="D165" s="1"/>
      <c r="E165" s="1"/>
      <c r="F165" s="1"/>
      <c r="G165" s="8"/>
      <c r="H165" s="1"/>
      <c r="I165" s="1"/>
      <c r="J165" s="1"/>
      <c r="K165" s="1"/>
      <c r="L165" s="1"/>
      <c r="M165" s="3"/>
      <c r="N165" s="3"/>
      <c r="O165" s="3"/>
      <c r="P165" s="3"/>
      <c r="Q165" s="3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4"/>
      <c r="AG165" s="4"/>
      <c r="AJ165" s="11"/>
      <c r="AM165" s="11"/>
      <c r="AN165" s="6"/>
      <c r="AO165"/>
      <c r="AP165"/>
      <c r="AQ165"/>
      <c r="AR165"/>
      <c r="AS165"/>
      <c r="AT165"/>
    </row>
    <row r="166" spans="1:46" x14ac:dyDescent="0.25">
      <c r="A166" s="1"/>
      <c r="B166" s="1"/>
      <c r="C166" s="1"/>
      <c r="D166" s="1"/>
      <c r="E166" s="1"/>
      <c r="F166" s="1"/>
      <c r="G166" s="8"/>
      <c r="H166" s="1"/>
      <c r="I166" s="1"/>
      <c r="J166" s="1"/>
      <c r="K166" s="1"/>
      <c r="L166" s="1"/>
      <c r="M166" s="3"/>
      <c r="N166" s="3"/>
      <c r="O166" s="3"/>
      <c r="P166" s="3"/>
      <c r="Q166" s="3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4"/>
      <c r="AG166" s="4"/>
      <c r="AJ166" s="11"/>
      <c r="AM166" s="11"/>
      <c r="AN166" s="6"/>
      <c r="AO166"/>
      <c r="AP166"/>
      <c r="AQ166"/>
      <c r="AR166"/>
      <c r="AS166"/>
      <c r="AT166"/>
    </row>
    <row r="167" spans="1:46" x14ac:dyDescent="0.25">
      <c r="A167" s="1"/>
      <c r="B167" s="1"/>
      <c r="C167" s="1"/>
      <c r="D167" s="1"/>
      <c r="E167" s="1"/>
      <c r="F167" s="1"/>
      <c r="G167" s="8"/>
      <c r="H167" s="1"/>
      <c r="I167" s="1"/>
      <c r="J167" s="1"/>
      <c r="K167" s="1"/>
      <c r="L167" s="1"/>
      <c r="M167" s="3"/>
      <c r="N167" s="3"/>
      <c r="O167" s="3"/>
      <c r="P167" s="3"/>
      <c r="Q167" s="3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4"/>
      <c r="AG167" s="4"/>
      <c r="AJ167" s="11"/>
      <c r="AM167" s="11"/>
      <c r="AN167" s="6"/>
      <c r="AO167"/>
      <c r="AP167"/>
      <c r="AQ167"/>
      <c r="AR167"/>
      <c r="AS167"/>
      <c r="AT167"/>
    </row>
    <row r="168" spans="1:46" x14ac:dyDescent="0.25">
      <c r="A168" s="1"/>
      <c r="B168" s="1"/>
      <c r="C168" s="1"/>
      <c r="D168" s="1"/>
      <c r="E168" s="1"/>
      <c r="F168" s="1"/>
      <c r="G168" s="8"/>
      <c r="H168" s="1"/>
      <c r="I168" s="1"/>
      <c r="J168" s="1"/>
      <c r="K168" s="1"/>
      <c r="L168" s="1"/>
      <c r="M168" s="3"/>
      <c r="N168" s="3"/>
      <c r="O168" s="3"/>
      <c r="P168" s="3"/>
      <c r="Q168" s="3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4"/>
      <c r="AG168" s="4"/>
      <c r="AJ168" s="11"/>
      <c r="AM168" s="11"/>
      <c r="AN168" s="6"/>
      <c r="AO168"/>
      <c r="AP168"/>
      <c r="AQ168"/>
      <c r="AR168"/>
      <c r="AS168"/>
      <c r="AT168"/>
    </row>
    <row r="169" spans="1:46" x14ac:dyDescent="0.25">
      <c r="A169" s="1"/>
      <c r="B169" s="1"/>
      <c r="C169" s="1"/>
      <c r="D169" s="1"/>
      <c r="E169" s="1"/>
      <c r="F169" s="1"/>
      <c r="G169" s="8"/>
      <c r="H169" s="1"/>
      <c r="I169" s="1"/>
      <c r="J169" s="1"/>
      <c r="K169" s="1"/>
      <c r="L169" s="1"/>
      <c r="M169" s="3"/>
      <c r="N169" s="3"/>
      <c r="O169" s="3"/>
      <c r="P169" s="3"/>
      <c r="Q169" s="3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4"/>
      <c r="AG169" s="4"/>
      <c r="AJ169" s="11"/>
      <c r="AM169" s="11"/>
      <c r="AN169" s="6"/>
      <c r="AO169"/>
      <c r="AP169"/>
      <c r="AQ169"/>
      <c r="AR169"/>
      <c r="AS169"/>
      <c r="AT169"/>
    </row>
    <row r="170" spans="1:46" x14ac:dyDescent="0.25">
      <c r="A170" s="1"/>
      <c r="B170" s="1"/>
      <c r="C170" s="1"/>
      <c r="D170" s="1"/>
      <c r="E170" s="1"/>
      <c r="F170" s="1"/>
      <c r="G170" s="8"/>
      <c r="H170" s="1"/>
      <c r="I170" s="1"/>
      <c r="J170" s="1"/>
      <c r="K170" s="1"/>
      <c r="L170" s="1"/>
      <c r="M170" s="3"/>
      <c r="N170" s="3"/>
      <c r="O170" s="3"/>
      <c r="P170" s="3"/>
      <c r="Q170" s="3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4"/>
      <c r="AG170" s="4"/>
      <c r="AJ170" s="11"/>
      <c r="AM170" s="11"/>
      <c r="AN170" s="6"/>
      <c r="AO170"/>
      <c r="AP170"/>
      <c r="AQ170"/>
      <c r="AR170"/>
      <c r="AS170"/>
      <c r="AT170"/>
    </row>
    <row r="171" spans="1:46" x14ac:dyDescent="0.25">
      <c r="A171" s="1"/>
      <c r="B171" s="1"/>
      <c r="C171" s="1"/>
      <c r="D171" s="1"/>
      <c r="E171" s="1"/>
      <c r="F171" s="1"/>
      <c r="G171" s="8"/>
      <c r="H171" s="1"/>
      <c r="I171" s="1"/>
      <c r="J171" s="1"/>
      <c r="K171" s="1"/>
      <c r="L171" s="1"/>
      <c r="M171" s="3"/>
      <c r="N171" s="3"/>
      <c r="O171" s="3"/>
      <c r="P171" s="3"/>
      <c r="Q171" s="3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4"/>
      <c r="AG171" s="4"/>
      <c r="AJ171" s="11"/>
      <c r="AM171" s="11"/>
      <c r="AN171" s="6"/>
      <c r="AO171"/>
      <c r="AP171"/>
      <c r="AQ171"/>
      <c r="AR171"/>
      <c r="AS171"/>
      <c r="AT171"/>
    </row>
    <row r="172" spans="1:46" x14ac:dyDescent="0.25">
      <c r="A172" s="1"/>
      <c r="B172" s="1"/>
      <c r="C172" s="1"/>
      <c r="D172" s="1"/>
      <c r="E172" s="1"/>
      <c r="F172" s="1"/>
      <c r="G172" s="8"/>
      <c r="H172" s="1"/>
      <c r="I172" s="1"/>
      <c r="J172" s="1"/>
      <c r="K172" s="1"/>
      <c r="L172" s="1"/>
      <c r="M172" s="3"/>
      <c r="N172" s="3"/>
      <c r="O172" s="3"/>
      <c r="P172" s="3"/>
      <c r="Q172" s="3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4"/>
      <c r="AG172" s="4"/>
      <c r="AJ172" s="11"/>
      <c r="AM172" s="11"/>
      <c r="AN172" s="6"/>
      <c r="AO172"/>
      <c r="AP172"/>
      <c r="AQ172"/>
      <c r="AR172"/>
      <c r="AS172"/>
      <c r="AT172"/>
    </row>
    <row r="173" spans="1:46" x14ac:dyDescent="0.25">
      <c r="A173" s="1"/>
      <c r="B173" s="1"/>
      <c r="C173" s="1"/>
      <c r="D173" s="1"/>
      <c r="E173" s="1"/>
      <c r="F173" s="1"/>
      <c r="G173" s="8"/>
      <c r="H173" s="1"/>
      <c r="I173" s="1"/>
      <c r="J173" s="1"/>
      <c r="K173" s="1"/>
      <c r="L173" s="1"/>
      <c r="M173" s="3"/>
      <c r="N173" s="3"/>
      <c r="O173" s="3"/>
      <c r="P173" s="3"/>
      <c r="Q173" s="3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4"/>
      <c r="AG173" s="4"/>
      <c r="AH173" s="4"/>
      <c r="AI173" s="4"/>
      <c r="AJ173" s="11"/>
      <c r="AK173" s="11"/>
      <c r="AL173" s="10"/>
      <c r="AM173" s="11"/>
      <c r="AN173" s="6"/>
      <c r="AO173"/>
      <c r="AP173"/>
      <c r="AQ173"/>
      <c r="AR173"/>
      <c r="AS173"/>
      <c r="AT173"/>
    </row>
    <row r="174" spans="1:46" x14ac:dyDescent="0.25">
      <c r="A174" s="1"/>
      <c r="B174" s="1"/>
      <c r="C174" s="1"/>
      <c r="D174" s="1"/>
      <c r="E174" s="1"/>
      <c r="F174" s="1"/>
      <c r="G174" s="8"/>
      <c r="H174" s="1"/>
      <c r="I174" s="1"/>
      <c r="J174" s="1"/>
      <c r="K174" s="1"/>
      <c r="L174" s="1"/>
      <c r="M174" s="3"/>
      <c r="N174" s="3"/>
      <c r="O174" s="3"/>
      <c r="P174" s="3"/>
      <c r="Q174" s="3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4"/>
      <c r="AG174" s="4"/>
      <c r="AH174" s="4"/>
      <c r="AI174" s="4"/>
      <c r="AJ174" s="11"/>
      <c r="AK174" s="11"/>
      <c r="AL174" s="10"/>
      <c r="AM174" s="11"/>
      <c r="AN174" s="6"/>
      <c r="AO174"/>
      <c r="AP174"/>
      <c r="AQ174"/>
      <c r="AR174"/>
      <c r="AS174"/>
      <c r="AT174"/>
    </row>
    <row r="175" spans="1:46" x14ac:dyDescent="0.25">
      <c r="A175" s="1"/>
      <c r="B175" s="1"/>
      <c r="C175" s="1"/>
      <c r="D175" s="1"/>
      <c r="E175" s="1"/>
      <c r="F175" s="1"/>
      <c r="G175" s="8"/>
      <c r="H175" s="1"/>
      <c r="I175" s="1"/>
      <c r="J175" s="1"/>
      <c r="K175" s="1"/>
      <c r="L175" s="1"/>
      <c r="M175" s="3"/>
      <c r="N175" s="3"/>
      <c r="O175" s="3"/>
      <c r="P175" s="3"/>
      <c r="Q175" s="3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4"/>
      <c r="AG175" s="4"/>
      <c r="AJ175" s="11"/>
      <c r="AM175" s="11"/>
      <c r="AN175" s="6"/>
      <c r="AO175"/>
      <c r="AP175"/>
      <c r="AQ175"/>
      <c r="AR175"/>
      <c r="AS175"/>
      <c r="AT175"/>
    </row>
    <row r="176" spans="1:46" x14ac:dyDescent="0.25">
      <c r="A176" s="1"/>
      <c r="B176" s="1"/>
      <c r="C176" s="1"/>
      <c r="D176" s="1"/>
      <c r="E176" s="1"/>
      <c r="F176" s="1"/>
      <c r="G176" s="8"/>
      <c r="H176" s="1"/>
      <c r="I176" s="1"/>
      <c r="J176" s="1"/>
      <c r="K176" s="1"/>
      <c r="L176" s="1"/>
      <c r="M176" s="3"/>
      <c r="N176" s="3"/>
      <c r="O176" s="3"/>
      <c r="P176" s="3"/>
      <c r="Q176" s="3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4"/>
      <c r="AG176" s="4"/>
      <c r="AJ176" s="11"/>
      <c r="AM176" s="11"/>
      <c r="AN176" s="6"/>
      <c r="AO176"/>
      <c r="AP176"/>
      <c r="AQ176"/>
      <c r="AR176"/>
      <c r="AS176"/>
      <c r="AT176"/>
    </row>
    <row r="177" spans="1:46" x14ac:dyDescent="0.25">
      <c r="A177" s="1"/>
      <c r="B177" s="1"/>
      <c r="C177" s="1"/>
      <c r="D177" s="1"/>
      <c r="E177" s="1"/>
      <c r="F177" s="1"/>
      <c r="G177" s="8"/>
      <c r="H177" s="1"/>
      <c r="I177" s="1"/>
      <c r="J177" s="1"/>
      <c r="K177" s="1"/>
      <c r="L177" s="1"/>
      <c r="M177" s="3"/>
      <c r="N177" s="3"/>
      <c r="O177" s="3"/>
      <c r="P177" s="3"/>
      <c r="Q177" s="3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4"/>
      <c r="AG177" s="4"/>
      <c r="AJ177" s="11"/>
      <c r="AM177" s="11"/>
      <c r="AN177" s="6"/>
      <c r="AO177"/>
      <c r="AP177"/>
      <c r="AQ177"/>
      <c r="AR177"/>
      <c r="AS177"/>
      <c r="AT177"/>
    </row>
    <row r="178" spans="1:46" x14ac:dyDescent="0.25">
      <c r="A178" s="1"/>
      <c r="B178" s="1"/>
      <c r="C178" s="1"/>
      <c r="D178" s="1"/>
      <c r="E178" s="1"/>
      <c r="F178" s="1"/>
      <c r="G178" s="8"/>
      <c r="H178" s="1"/>
      <c r="I178" s="1"/>
      <c r="J178" s="1"/>
      <c r="K178" s="1"/>
      <c r="L178" s="1"/>
      <c r="M178" s="3"/>
      <c r="N178" s="3"/>
      <c r="O178" s="3"/>
      <c r="P178" s="3"/>
      <c r="Q178" s="3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4"/>
      <c r="AG178" s="4"/>
      <c r="AJ178" s="11"/>
      <c r="AM178" s="11"/>
      <c r="AN178" s="6"/>
      <c r="AO178"/>
      <c r="AP178"/>
      <c r="AQ178"/>
      <c r="AR178"/>
      <c r="AS178"/>
      <c r="AT178"/>
    </row>
    <row r="179" spans="1:46" x14ac:dyDescent="0.25">
      <c r="A179" s="1"/>
      <c r="B179" s="1"/>
      <c r="C179" s="1"/>
      <c r="D179" s="1"/>
      <c r="E179" s="1"/>
      <c r="F179" s="1"/>
      <c r="G179" s="8"/>
      <c r="H179" s="1"/>
      <c r="I179" s="1"/>
      <c r="J179" s="1"/>
      <c r="K179" s="1"/>
      <c r="L179" s="1"/>
      <c r="M179" s="3"/>
      <c r="N179" s="3"/>
      <c r="O179" s="3"/>
      <c r="P179" s="3"/>
      <c r="Q179" s="3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4"/>
      <c r="AG179" s="4"/>
      <c r="AJ179" s="11"/>
      <c r="AM179" s="11"/>
      <c r="AN179" s="6"/>
      <c r="AO179"/>
      <c r="AP179"/>
      <c r="AQ179"/>
      <c r="AR179"/>
      <c r="AS179"/>
      <c r="AT179"/>
    </row>
    <row r="180" spans="1:46" x14ac:dyDescent="0.25">
      <c r="A180" s="1"/>
      <c r="B180" s="1"/>
      <c r="C180" s="1"/>
      <c r="D180" s="1"/>
      <c r="E180" s="1"/>
      <c r="F180" s="1"/>
      <c r="G180" s="8"/>
      <c r="H180" s="1"/>
      <c r="I180" s="1"/>
      <c r="J180" s="1"/>
      <c r="K180" s="1"/>
      <c r="L180" s="1"/>
      <c r="M180" s="3"/>
      <c r="N180" s="3"/>
      <c r="O180" s="3"/>
      <c r="P180" s="3"/>
      <c r="Q180" s="3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4"/>
      <c r="AG180" s="4"/>
      <c r="AJ180" s="11"/>
      <c r="AM180" s="11"/>
      <c r="AN180" s="6"/>
      <c r="AO180"/>
      <c r="AP180"/>
      <c r="AQ180"/>
      <c r="AR180"/>
      <c r="AS180"/>
      <c r="AT180"/>
    </row>
    <row r="181" spans="1:46" x14ac:dyDescent="0.25">
      <c r="A181" s="1"/>
      <c r="B181" s="1"/>
      <c r="C181" s="1"/>
      <c r="D181" s="1"/>
      <c r="E181" s="1"/>
      <c r="F181" s="1"/>
      <c r="G181" s="8"/>
      <c r="H181" s="1"/>
      <c r="I181" s="1"/>
      <c r="J181" s="1"/>
      <c r="K181" s="1"/>
      <c r="L181" s="1"/>
      <c r="M181" s="3"/>
      <c r="N181" s="3"/>
      <c r="O181" s="3"/>
      <c r="P181" s="3"/>
      <c r="Q181" s="3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4"/>
      <c r="AG181" s="4"/>
      <c r="AJ181" s="11"/>
      <c r="AM181" s="11"/>
      <c r="AN181" s="6"/>
      <c r="AO181"/>
      <c r="AP181"/>
      <c r="AQ181"/>
      <c r="AR181"/>
      <c r="AS181"/>
      <c r="AT181"/>
    </row>
    <row r="182" spans="1:46" x14ac:dyDescent="0.25">
      <c r="A182" s="1"/>
      <c r="B182" s="1"/>
      <c r="C182" s="1"/>
      <c r="D182" s="1"/>
      <c r="E182" s="1"/>
      <c r="F182" s="1"/>
      <c r="G182" s="8"/>
      <c r="H182" s="1"/>
      <c r="I182" s="1"/>
      <c r="J182" s="1"/>
      <c r="K182" s="1"/>
      <c r="L182" s="1"/>
      <c r="M182" s="3"/>
      <c r="N182" s="3"/>
      <c r="O182" s="3"/>
      <c r="P182" s="3"/>
      <c r="Q182" s="3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4"/>
      <c r="AG182" s="4"/>
      <c r="AJ182" s="11"/>
      <c r="AM182" s="11"/>
      <c r="AN182" s="6"/>
      <c r="AO182"/>
      <c r="AP182"/>
      <c r="AQ182"/>
      <c r="AR182"/>
      <c r="AS182"/>
      <c r="AT182"/>
    </row>
    <row r="183" spans="1:46" x14ac:dyDescent="0.25">
      <c r="A183" s="1"/>
      <c r="B183" s="1"/>
      <c r="C183" s="1"/>
      <c r="D183" s="1"/>
      <c r="E183" s="1"/>
      <c r="F183" s="1"/>
      <c r="G183" s="8"/>
      <c r="H183" s="1"/>
      <c r="I183" s="1"/>
      <c r="J183" s="1"/>
      <c r="K183" s="1"/>
      <c r="L183" s="1"/>
      <c r="M183" s="3"/>
      <c r="N183" s="3"/>
      <c r="O183" s="3"/>
      <c r="P183" s="3"/>
      <c r="Q183" s="3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4"/>
      <c r="AG183" s="4"/>
      <c r="AJ183" s="11"/>
      <c r="AM183" s="11"/>
      <c r="AN183" s="6"/>
      <c r="AO183"/>
      <c r="AP183"/>
      <c r="AQ183"/>
      <c r="AR183"/>
      <c r="AS183"/>
      <c r="AT183"/>
    </row>
    <row r="184" spans="1:46" x14ac:dyDescent="0.25">
      <c r="A184" s="1"/>
      <c r="B184" s="1"/>
      <c r="C184" s="1"/>
      <c r="D184" s="1"/>
      <c r="E184" s="1"/>
      <c r="F184" s="1"/>
      <c r="G184" s="8"/>
      <c r="H184" s="1"/>
      <c r="I184" s="1"/>
      <c r="J184" s="1"/>
      <c r="K184" s="1"/>
      <c r="L184" s="1"/>
      <c r="M184" s="3"/>
      <c r="N184" s="3"/>
      <c r="O184" s="3"/>
      <c r="P184" s="3"/>
      <c r="Q184" s="3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4"/>
      <c r="AG184" s="4"/>
      <c r="AJ184" s="11"/>
      <c r="AM184" s="11"/>
      <c r="AN184" s="6"/>
      <c r="AO184"/>
      <c r="AP184"/>
      <c r="AQ184"/>
      <c r="AR184"/>
      <c r="AS184"/>
      <c r="AT184"/>
    </row>
    <row r="185" spans="1:46" x14ac:dyDescent="0.25">
      <c r="A185" s="1"/>
      <c r="B185" s="1"/>
      <c r="C185" s="1"/>
      <c r="D185" s="1"/>
      <c r="E185" s="1"/>
      <c r="F185" s="1"/>
      <c r="G185" s="8"/>
      <c r="H185" s="1"/>
      <c r="I185" s="1"/>
      <c r="J185" s="1"/>
      <c r="K185" s="1"/>
      <c r="L185" s="1"/>
      <c r="M185" s="3"/>
      <c r="N185" s="3"/>
      <c r="O185" s="3"/>
      <c r="P185" s="3"/>
      <c r="Q185" s="3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4"/>
      <c r="AG185" s="4"/>
      <c r="AH185" s="4"/>
      <c r="AI185" s="4"/>
      <c r="AJ185" s="11"/>
      <c r="AK185" s="11"/>
      <c r="AL185" s="10"/>
      <c r="AM185" s="11"/>
      <c r="AN185" s="6"/>
      <c r="AO185"/>
      <c r="AP185"/>
      <c r="AQ185"/>
      <c r="AR185"/>
      <c r="AS185"/>
      <c r="AT185"/>
    </row>
    <row r="186" spans="1:46" x14ac:dyDescent="0.25">
      <c r="A186" s="1"/>
      <c r="B186" s="1"/>
      <c r="C186" s="1"/>
      <c r="D186" s="1"/>
      <c r="E186" s="1"/>
      <c r="F186" s="1"/>
      <c r="G186" s="8"/>
      <c r="H186" s="1"/>
      <c r="I186" s="1"/>
      <c r="J186" s="1"/>
      <c r="K186" s="1"/>
      <c r="L186" s="1"/>
      <c r="M186" s="3"/>
      <c r="N186" s="3"/>
      <c r="O186" s="3"/>
      <c r="P186" s="3"/>
      <c r="Q186" s="3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4"/>
      <c r="AG186" s="4"/>
      <c r="AH186" s="4"/>
      <c r="AI186" s="4"/>
      <c r="AJ186" s="11"/>
      <c r="AK186" s="11"/>
      <c r="AL186" s="10"/>
      <c r="AM186" s="11"/>
      <c r="AN186" s="6"/>
      <c r="AO186"/>
      <c r="AP186"/>
      <c r="AQ186"/>
      <c r="AR186"/>
      <c r="AS186"/>
      <c r="AT186"/>
    </row>
    <row r="187" spans="1:46" x14ac:dyDescent="0.25">
      <c r="A187" s="1"/>
      <c r="B187" s="1"/>
      <c r="C187" s="1"/>
      <c r="D187" s="1"/>
      <c r="E187" s="1"/>
      <c r="F187" s="1"/>
      <c r="G187" s="8"/>
      <c r="H187" s="1"/>
      <c r="I187" s="1"/>
      <c r="J187" s="1"/>
      <c r="K187" s="1"/>
      <c r="L187" s="1"/>
      <c r="M187" s="3"/>
      <c r="N187" s="3"/>
      <c r="O187" s="3"/>
      <c r="P187" s="3"/>
      <c r="Q187" s="3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4"/>
      <c r="AG187" s="4"/>
      <c r="AJ187" s="11"/>
      <c r="AM187" s="11"/>
      <c r="AN187" s="6"/>
      <c r="AO187"/>
      <c r="AP187"/>
      <c r="AQ187"/>
      <c r="AR187"/>
      <c r="AS187"/>
      <c r="AT187"/>
    </row>
    <row r="188" spans="1:46" x14ac:dyDescent="0.25">
      <c r="A188" s="1"/>
      <c r="B188" s="1"/>
      <c r="C188" s="1"/>
      <c r="D188" s="1"/>
      <c r="E188" s="1"/>
      <c r="F188" s="1"/>
      <c r="G188" s="8"/>
      <c r="H188" s="1"/>
      <c r="I188" s="1"/>
      <c r="J188" s="1"/>
      <c r="K188" s="1"/>
      <c r="L188" s="1"/>
      <c r="M188" s="3"/>
      <c r="N188" s="3"/>
      <c r="O188" s="3"/>
      <c r="P188" s="3"/>
      <c r="Q188" s="3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4"/>
      <c r="AG188" s="4"/>
      <c r="AJ188" s="11"/>
      <c r="AM188" s="11"/>
      <c r="AN188" s="6"/>
      <c r="AO188"/>
      <c r="AP188"/>
      <c r="AQ188"/>
      <c r="AR188"/>
      <c r="AS188"/>
      <c r="AT188"/>
    </row>
    <row r="189" spans="1:46" x14ac:dyDescent="0.25">
      <c r="A189" s="1"/>
      <c r="B189" s="1"/>
      <c r="C189" s="1"/>
      <c r="D189" s="1"/>
      <c r="E189" s="1"/>
      <c r="F189" s="1"/>
      <c r="G189" s="8"/>
      <c r="H189" s="1"/>
      <c r="I189" s="1"/>
      <c r="J189" s="1"/>
      <c r="K189" s="1"/>
      <c r="L189" s="1"/>
      <c r="M189" s="3"/>
      <c r="N189" s="3"/>
      <c r="O189" s="3"/>
      <c r="P189" s="3"/>
      <c r="Q189" s="3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4"/>
      <c r="AG189" s="4"/>
      <c r="AJ189" s="11"/>
      <c r="AM189" s="11"/>
      <c r="AN189" s="6"/>
      <c r="AO189"/>
      <c r="AP189"/>
      <c r="AQ189"/>
      <c r="AR189"/>
      <c r="AS189"/>
      <c r="AT189"/>
    </row>
    <row r="190" spans="1:46" x14ac:dyDescent="0.25">
      <c r="A190" s="1"/>
      <c r="B190" s="1"/>
      <c r="C190" s="1"/>
      <c r="D190" s="1"/>
      <c r="E190" s="1"/>
      <c r="F190" s="1"/>
      <c r="G190" s="8"/>
      <c r="H190" s="1"/>
      <c r="I190" s="1"/>
      <c r="J190" s="1"/>
      <c r="K190" s="1"/>
      <c r="L190" s="1"/>
      <c r="M190" s="3"/>
      <c r="N190" s="3"/>
      <c r="O190" s="3"/>
      <c r="P190" s="3"/>
      <c r="Q190" s="3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4"/>
      <c r="AG190" s="4"/>
      <c r="AJ190" s="11"/>
      <c r="AM190" s="11"/>
      <c r="AN190" s="6"/>
      <c r="AO190"/>
      <c r="AP190"/>
      <c r="AQ190"/>
      <c r="AR190"/>
      <c r="AS190"/>
      <c r="AT190"/>
    </row>
    <row r="191" spans="1:46" x14ac:dyDescent="0.25">
      <c r="A191" s="1"/>
      <c r="B191" s="1"/>
      <c r="C191" s="1"/>
      <c r="D191" s="1"/>
      <c r="E191" s="1"/>
      <c r="F191" s="1"/>
      <c r="G191" s="8"/>
      <c r="H191" s="1"/>
      <c r="I191" s="1"/>
      <c r="J191" s="1"/>
      <c r="K191" s="1"/>
      <c r="L191" s="1"/>
      <c r="M191" s="3"/>
      <c r="N191" s="3"/>
      <c r="O191" s="3"/>
      <c r="P191" s="3"/>
      <c r="Q191" s="3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4"/>
      <c r="AG191" s="4"/>
      <c r="AJ191" s="11"/>
      <c r="AM191" s="11"/>
      <c r="AN191" s="6"/>
      <c r="AO191"/>
      <c r="AP191"/>
      <c r="AQ191"/>
      <c r="AR191"/>
      <c r="AS191"/>
      <c r="AT191"/>
    </row>
    <row r="192" spans="1:46" x14ac:dyDescent="0.25">
      <c r="A192" s="1"/>
      <c r="B192" s="1"/>
      <c r="C192" s="1"/>
      <c r="D192" s="1"/>
      <c r="E192" s="1"/>
      <c r="F192" s="1"/>
      <c r="G192" s="8"/>
      <c r="H192" s="1"/>
      <c r="I192" s="1"/>
      <c r="J192" s="1"/>
      <c r="K192" s="1"/>
      <c r="L192" s="1"/>
      <c r="M192" s="3"/>
      <c r="N192" s="3"/>
      <c r="O192" s="3"/>
      <c r="P192" s="3"/>
      <c r="Q192" s="3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4"/>
      <c r="AG192" s="4"/>
      <c r="AJ192" s="11"/>
      <c r="AM192" s="11"/>
      <c r="AN192" s="6"/>
      <c r="AO192"/>
      <c r="AP192"/>
      <c r="AQ192"/>
      <c r="AR192"/>
      <c r="AS192"/>
      <c r="AT192"/>
    </row>
    <row r="193" spans="1:46" x14ac:dyDescent="0.25">
      <c r="A193" s="1"/>
      <c r="B193" s="1"/>
      <c r="C193" s="1"/>
      <c r="D193" s="1"/>
      <c r="E193" s="1"/>
      <c r="F193" s="1"/>
      <c r="G193" s="8"/>
      <c r="H193" s="1"/>
      <c r="I193" s="1"/>
      <c r="J193" s="1"/>
      <c r="K193" s="1"/>
      <c r="L193" s="1"/>
      <c r="M193" s="3"/>
      <c r="N193" s="3"/>
      <c r="O193" s="3"/>
      <c r="P193" s="3"/>
      <c r="Q193" s="3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4"/>
      <c r="AG193" s="4"/>
      <c r="AJ193" s="11"/>
      <c r="AM193" s="11"/>
      <c r="AN193" s="6"/>
      <c r="AO193"/>
      <c r="AP193"/>
      <c r="AQ193"/>
      <c r="AR193"/>
      <c r="AS193"/>
      <c r="AT193"/>
    </row>
    <row r="194" spans="1:46" x14ac:dyDescent="0.25">
      <c r="A194" s="1"/>
      <c r="B194" s="1"/>
      <c r="C194" s="1"/>
      <c r="D194" s="1"/>
      <c r="E194" s="1"/>
      <c r="F194" s="1"/>
      <c r="G194" s="8"/>
      <c r="H194" s="1"/>
      <c r="I194" s="1"/>
      <c r="J194" s="1"/>
      <c r="K194" s="1"/>
      <c r="L194" s="1"/>
      <c r="M194" s="3"/>
      <c r="N194" s="3"/>
      <c r="O194" s="3"/>
      <c r="P194" s="3"/>
      <c r="Q194" s="3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4"/>
      <c r="AG194" s="4"/>
      <c r="AH194" s="4"/>
      <c r="AI194" s="4"/>
      <c r="AJ194" s="11"/>
      <c r="AK194" s="11"/>
      <c r="AL194" s="10"/>
      <c r="AM194" s="11"/>
      <c r="AN194" s="6"/>
      <c r="AO194"/>
      <c r="AP194"/>
      <c r="AQ194"/>
      <c r="AR194"/>
      <c r="AS194"/>
      <c r="AT194"/>
    </row>
    <row r="195" spans="1:46" x14ac:dyDescent="0.25">
      <c r="A195" s="1"/>
      <c r="B195" s="1"/>
      <c r="C195" s="1"/>
      <c r="D195" s="1"/>
      <c r="E195" s="1"/>
      <c r="F195" s="1"/>
      <c r="G195" s="8"/>
      <c r="H195" s="1"/>
      <c r="I195" s="1"/>
      <c r="J195" s="1"/>
      <c r="K195" s="1"/>
      <c r="L195" s="1"/>
      <c r="M195" s="3"/>
      <c r="N195" s="3"/>
      <c r="O195" s="3"/>
      <c r="P195" s="3"/>
      <c r="Q195" s="3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4"/>
      <c r="AG195" s="4"/>
      <c r="AJ195" s="11"/>
      <c r="AM195" s="11"/>
      <c r="AN195" s="6"/>
      <c r="AO195"/>
      <c r="AP195"/>
      <c r="AQ195"/>
      <c r="AR195"/>
      <c r="AS195"/>
      <c r="AT195"/>
    </row>
    <row r="196" spans="1:46" x14ac:dyDescent="0.25">
      <c r="A196" s="1"/>
      <c r="B196" s="1"/>
      <c r="C196" s="1"/>
      <c r="D196" s="1"/>
      <c r="E196" s="1"/>
      <c r="F196" s="1"/>
      <c r="G196" s="8"/>
      <c r="H196" s="1"/>
      <c r="I196" s="1"/>
      <c r="J196" s="1"/>
      <c r="K196" s="1"/>
      <c r="L196" s="1"/>
      <c r="M196" s="3"/>
      <c r="N196" s="3"/>
      <c r="O196" s="3"/>
      <c r="P196" s="3"/>
      <c r="Q196" s="3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4"/>
      <c r="AG196" s="4"/>
      <c r="AJ196" s="11"/>
      <c r="AM196" s="11"/>
      <c r="AN196" s="6"/>
      <c r="AO196"/>
      <c r="AP196"/>
      <c r="AQ196"/>
      <c r="AR196"/>
      <c r="AS196"/>
      <c r="AT196"/>
    </row>
    <row r="197" spans="1:46" x14ac:dyDescent="0.25">
      <c r="A197" s="1"/>
      <c r="B197" s="1"/>
      <c r="C197" s="1"/>
      <c r="D197" s="1"/>
      <c r="E197" s="1"/>
      <c r="F197" s="1"/>
      <c r="G197" s="8"/>
      <c r="H197" s="1"/>
      <c r="I197" s="1"/>
      <c r="J197" s="1"/>
      <c r="K197" s="1"/>
      <c r="L197" s="1"/>
      <c r="M197" s="3"/>
      <c r="N197" s="3"/>
      <c r="O197" s="3"/>
      <c r="P197" s="3"/>
      <c r="Q197" s="3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4"/>
      <c r="AG197" s="4"/>
      <c r="AJ197" s="11"/>
      <c r="AM197" s="11"/>
      <c r="AN197" s="6"/>
      <c r="AO197"/>
      <c r="AP197"/>
      <c r="AQ197"/>
      <c r="AR197"/>
      <c r="AS197"/>
      <c r="AT197"/>
    </row>
    <row r="198" spans="1:46" x14ac:dyDescent="0.25">
      <c r="A198" s="1"/>
      <c r="B198" s="1"/>
      <c r="C198" s="1"/>
      <c r="D198" s="1"/>
      <c r="E198" s="1"/>
      <c r="F198" s="1"/>
      <c r="G198" s="8"/>
      <c r="H198" s="1"/>
      <c r="I198" s="1"/>
      <c r="J198" s="1"/>
      <c r="K198" s="1"/>
      <c r="L198" s="1"/>
      <c r="M198" s="3"/>
      <c r="N198" s="3"/>
      <c r="O198" s="3"/>
      <c r="P198" s="3"/>
      <c r="Q198" s="3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4"/>
      <c r="AG198" s="4"/>
      <c r="AJ198" s="11"/>
      <c r="AM198" s="11"/>
      <c r="AN198" s="6"/>
      <c r="AO198"/>
      <c r="AP198"/>
      <c r="AQ198"/>
      <c r="AR198"/>
      <c r="AS198"/>
      <c r="AT198"/>
    </row>
    <row r="199" spans="1:46" x14ac:dyDescent="0.25">
      <c r="A199" s="1"/>
      <c r="B199" s="1"/>
      <c r="C199" s="1"/>
      <c r="D199" s="1"/>
      <c r="E199" s="1"/>
      <c r="F199" s="1"/>
      <c r="G199" s="8"/>
      <c r="H199" s="1"/>
      <c r="I199" s="1"/>
      <c r="J199" s="1"/>
      <c r="K199" s="1"/>
      <c r="L199" s="1"/>
      <c r="M199" s="3"/>
      <c r="N199" s="3"/>
      <c r="O199" s="3"/>
      <c r="P199" s="3"/>
      <c r="Q199" s="3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4"/>
      <c r="AG199" s="4"/>
      <c r="AJ199" s="11"/>
      <c r="AM199" s="11"/>
      <c r="AN199" s="6"/>
      <c r="AO199"/>
      <c r="AP199"/>
      <c r="AQ199"/>
      <c r="AR199"/>
      <c r="AS199"/>
      <c r="AT199"/>
    </row>
    <row r="200" spans="1:46" x14ac:dyDescent="0.25">
      <c r="A200" s="1"/>
      <c r="B200" s="1"/>
      <c r="C200" s="1"/>
      <c r="D200" s="1"/>
      <c r="E200" s="1"/>
      <c r="F200" s="1"/>
      <c r="G200" s="8"/>
      <c r="H200" s="1"/>
      <c r="I200" s="1"/>
      <c r="J200" s="1"/>
      <c r="K200" s="1"/>
      <c r="L200" s="1"/>
      <c r="M200" s="3"/>
      <c r="N200" s="3"/>
      <c r="O200" s="3"/>
      <c r="P200" s="3"/>
      <c r="Q200" s="3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4"/>
      <c r="AG200" s="4"/>
      <c r="AJ200" s="11"/>
      <c r="AM200" s="11"/>
      <c r="AN200" s="6"/>
      <c r="AO200"/>
      <c r="AP200"/>
      <c r="AQ200"/>
      <c r="AR200"/>
      <c r="AS200"/>
      <c r="AT200"/>
    </row>
    <row r="201" spans="1:46" x14ac:dyDescent="0.25">
      <c r="A201" s="1"/>
      <c r="B201" s="1"/>
      <c r="C201" s="1"/>
      <c r="D201" s="1"/>
      <c r="E201" s="1"/>
      <c r="F201" s="1"/>
      <c r="G201" s="8"/>
      <c r="H201" s="1"/>
      <c r="I201" s="1"/>
      <c r="J201" s="1"/>
      <c r="K201" s="1"/>
      <c r="L201" s="1"/>
      <c r="M201" s="3"/>
      <c r="N201" s="3"/>
      <c r="O201" s="3"/>
      <c r="P201" s="3"/>
      <c r="Q201" s="3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4"/>
      <c r="AG201" s="4"/>
      <c r="AJ201" s="11"/>
      <c r="AM201" s="11"/>
      <c r="AN201" s="6"/>
      <c r="AO201"/>
      <c r="AP201"/>
      <c r="AQ201"/>
      <c r="AR201"/>
      <c r="AS201"/>
      <c r="AT201"/>
    </row>
    <row r="202" spans="1:46" x14ac:dyDescent="0.25">
      <c r="A202" s="1"/>
      <c r="B202" s="1"/>
      <c r="C202" s="1"/>
      <c r="D202" s="1"/>
      <c r="E202" s="1"/>
      <c r="F202" s="1"/>
      <c r="G202" s="8"/>
      <c r="H202" s="1"/>
      <c r="I202" s="1"/>
      <c r="J202" s="1"/>
      <c r="K202" s="1"/>
      <c r="L202" s="1"/>
      <c r="M202" s="3"/>
      <c r="N202" s="3"/>
      <c r="O202" s="3"/>
      <c r="P202" s="3"/>
      <c r="Q202" s="3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4"/>
      <c r="AG202" s="4"/>
      <c r="AJ202" s="11"/>
      <c r="AM202" s="11"/>
      <c r="AN202" s="6"/>
      <c r="AO202"/>
      <c r="AP202"/>
      <c r="AQ202"/>
      <c r="AR202"/>
      <c r="AS202"/>
      <c r="AT202"/>
    </row>
    <row r="203" spans="1:46" x14ac:dyDescent="0.25">
      <c r="A203" s="1"/>
      <c r="B203" s="1"/>
      <c r="C203" s="1"/>
      <c r="D203" s="1"/>
      <c r="E203" s="1"/>
      <c r="F203" s="1"/>
      <c r="G203" s="8"/>
      <c r="H203" s="1"/>
      <c r="I203" s="1"/>
      <c r="J203" s="1"/>
      <c r="K203" s="1"/>
      <c r="L203" s="1"/>
      <c r="M203" s="3"/>
      <c r="N203" s="3"/>
      <c r="O203" s="3"/>
      <c r="P203" s="3"/>
      <c r="Q203" s="3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4"/>
      <c r="AG203" s="4"/>
      <c r="AJ203" s="11"/>
      <c r="AM203" s="11"/>
      <c r="AN203" s="6"/>
      <c r="AO203"/>
      <c r="AP203"/>
      <c r="AQ203"/>
      <c r="AR203"/>
      <c r="AS203"/>
      <c r="AT203"/>
    </row>
    <row r="204" spans="1:46" x14ac:dyDescent="0.25">
      <c r="A204" s="1"/>
      <c r="B204" s="1"/>
      <c r="C204" s="1"/>
      <c r="D204" s="1"/>
      <c r="E204" s="1"/>
      <c r="F204" s="1"/>
      <c r="G204" s="8"/>
      <c r="H204" s="1"/>
      <c r="I204" s="1"/>
      <c r="J204" s="1"/>
      <c r="K204" s="1"/>
      <c r="L204" s="1"/>
      <c r="M204" s="3"/>
      <c r="N204" s="3"/>
      <c r="O204" s="3"/>
      <c r="P204" s="3"/>
      <c r="Q204" s="3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4"/>
      <c r="AG204" s="4"/>
      <c r="AJ204" s="11"/>
      <c r="AM204" s="11"/>
      <c r="AN204" s="6"/>
      <c r="AO204"/>
      <c r="AP204"/>
      <c r="AQ204"/>
      <c r="AR204"/>
      <c r="AS204"/>
      <c r="AT204"/>
    </row>
    <row r="205" spans="1:46" x14ac:dyDescent="0.25">
      <c r="A205" s="1"/>
      <c r="B205" s="1"/>
      <c r="C205" s="1"/>
      <c r="D205" s="1"/>
      <c r="E205" s="1"/>
      <c r="F205" s="1"/>
      <c r="G205" s="8"/>
      <c r="H205" s="1"/>
      <c r="I205" s="1"/>
      <c r="J205" s="1"/>
      <c r="K205" s="1"/>
      <c r="L205" s="1"/>
      <c r="M205" s="3"/>
      <c r="N205" s="3"/>
      <c r="O205" s="3"/>
      <c r="P205" s="3"/>
      <c r="Q205" s="3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4"/>
      <c r="AG205" s="4"/>
      <c r="AJ205" s="11"/>
      <c r="AM205" s="11"/>
      <c r="AN205" s="6"/>
      <c r="AO205"/>
      <c r="AP205"/>
      <c r="AQ205"/>
      <c r="AR205"/>
      <c r="AS205"/>
      <c r="AT205"/>
    </row>
    <row r="206" spans="1:46" x14ac:dyDescent="0.25">
      <c r="A206" s="1"/>
      <c r="B206" s="1"/>
      <c r="C206" s="1"/>
      <c r="D206" s="1"/>
      <c r="E206" s="1"/>
      <c r="F206" s="1"/>
      <c r="G206" s="8"/>
      <c r="H206" s="1"/>
      <c r="I206" s="1"/>
      <c r="J206" s="1"/>
      <c r="K206" s="1"/>
      <c r="L206" s="1"/>
      <c r="M206" s="3"/>
      <c r="N206" s="3"/>
      <c r="O206" s="3"/>
      <c r="P206" s="3"/>
      <c r="Q206" s="3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4"/>
      <c r="AG206" s="4"/>
      <c r="AJ206" s="11"/>
      <c r="AM206" s="11"/>
      <c r="AN206" s="6"/>
      <c r="AO206"/>
      <c r="AP206"/>
      <c r="AQ206"/>
      <c r="AR206"/>
      <c r="AS206"/>
      <c r="AT206"/>
    </row>
    <row r="207" spans="1:46" x14ac:dyDescent="0.25">
      <c r="A207" s="1"/>
      <c r="B207" s="1"/>
      <c r="C207" s="1"/>
      <c r="D207" s="1"/>
      <c r="E207" s="1"/>
      <c r="F207" s="1"/>
      <c r="G207" s="8"/>
      <c r="H207" s="1"/>
      <c r="I207" s="1"/>
      <c r="J207" s="1"/>
      <c r="K207" s="1"/>
      <c r="L207" s="1"/>
      <c r="M207" s="3"/>
      <c r="N207" s="3"/>
      <c r="O207" s="3"/>
      <c r="P207" s="3"/>
      <c r="Q207" s="3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4"/>
      <c r="AG207" s="4"/>
      <c r="AJ207" s="11"/>
      <c r="AM207" s="11"/>
      <c r="AN207" s="6"/>
      <c r="AO207"/>
      <c r="AP207"/>
      <c r="AQ207"/>
      <c r="AR207"/>
      <c r="AS207"/>
      <c r="AT207"/>
    </row>
    <row r="208" spans="1:46" x14ac:dyDescent="0.25">
      <c r="A208" s="1"/>
      <c r="B208" s="1"/>
      <c r="C208" s="1"/>
      <c r="D208" s="1"/>
      <c r="E208" s="1"/>
      <c r="F208" s="1"/>
      <c r="G208" s="8"/>
      <c r="H208" s="1"/>
      <c r="I208" s="1"/>
      <c r="J208" s="1"/>
      <c r="K208" s="1"/>
      <c r="L208" s="1"/>
      <c r="M208" s="3"/>
      <c r="N208" s="3"/>
      <c r="O208" s="3"/>
      <c r="P208" s="3"/>
      <c r="Q208" s="3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4"/>
      <c r="AG208" s="4"/>
      <c r="AJ208" s="11"/>
      <c r="AM208" s="11"/>
      <c r="AN208" s="6"/>
      <c r="AO208"/>
      <c r="AP208"/>
      <c r="AQ208"/>
      <c r="AR208"/>
      <c r="AS208"/>
      <c r="AT208"/>
    </row>
    <row r="209" spans="1:46" x14ac:dyDescent="0.25">
      <c r="A209" s="1"/>
      <c r="B209" s="1"/>
      <c r="C209" s="1"/>
      <c r="D209" s="1"/>
      <c r="E209" s="1"/>
      <c r="F209" s="1"/>
      <c r="G209" s="8"/>
      <c r="H209" s="1"/>
      <c r="I209" s="1"/>
      <c r="J209" s="1"/>
      <c r="K209" s="1"/>
      <c r="L209" s="1"/>
      <c r="M209" s="3"/>
      <c r="N209" s="3"/>
      <c r="O209" s="3"/>
      <c r="P209" s="3"/>
      <c r="Q209" s="3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4"/>
      <c r="AG209" s="4"/>
      <c r="AJ209" s="11"/>
      <c r="AM209" s="11"/>
      <c r="AN209" s="6"/>
      <c r="AO209"/>
      <c r="AP209"/>
      <c r="AQ209"/>
      <c r="AR209"/>
      <c r="AS209"/>
      <c r="AT209"/>
    </row>
    <row r="210" spans="1:46" x14ac:dyDescent="0.25">
      <c r="A210" s="1"/>
      <c r="B210" s="1"/>
      <c r="C210" s="1"/>
      <c r="D210" s="1"/>
      <c r="E210" s="1"/>
      <c r="F210" s="1"/>
      <c r="G210" s="8"/>
      <c r="H210" s="1"/>
      <c r="I210" s="1"/>
      <c r="J210" s="1"/>
      <c r="K210" s="1"/>
      <c r="L210" s="1"/>
      <c r="M210" s="3"/>
      <c r="N210" s="3"/>
      <c r="O210" s="3"/>
      <c r="P210" s="3"/>
      <c r="Q210" s="3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4"/>
      <c r="AG210" s="4"/>
      <c r="AJ210" s="11"/>
      <c r="AM210" s="11"/>
      <c r="AN210" s="6"/>
      <c r="AO210"/>
      <c r="AP210"/>
      <c r="AQ210"/>
      <c r="AR210"/>
      <c r="AS210"/>
      <c r="AT210"/>
    </row>
    <row r="211" spans="1:46" x14ac:dyDescent="0.25">
      <c r="A211" s="1"/>
      <c r="B211" s="1"/>
      <c r="C211" s="1"/>
      <c r="D211" s="1"/>
      <c r="E211" s="1"/>
      <c r="F211" s="1"/>
      <c r="G211" s="8"/>
      <c r="H211" s="1"/>
      <c r="I211" s="1"/>
      <c r="J211" s="1"/>
      <c r="K211" s="1"/>
      <c r="L211" s="1"/>
      <c r="M211" s="3"/>
      <c r="N211" s="3"/>
      <c r="O211" s="3"/>
      <c r="P211" s="3"/>
      <c r="Q211" s="3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4"/>
      <c r="AG211" s="4"/>
      <c r="AJ211" s="11"/>
      <c r="AM211" s="11"/>
      <c r="AN211" s="6"/>
      <c r="AO211"/>
      <c r="AP211"/>
      <c r="AQ211"/>
      <c r="AR211"/>
      <c r="AS211"/>
      <c r="AT211"/>
    </row>
    <row r="212" spans="1:46" x14ac:dyDescent="0.25">
      <c r="A212" s="1"/>
      <c r="B212" s="1"/>
      <c r="C212" s="1"/>
      <c r="D212" s="1"/>
      <c r="E212" s="1"/>
      <c r="F212" s="1"/>
      <c r="G212" s="8"/>
      <c r="H212" s="1"/>
      <c r="I212" s="1"/>
      <c r="J212" s="1"/>
      <c r="K212" s="1"/>
      <c r="L212" s="1"/>
      <c r="M212" s="3"/>
      <c r="N212" s="3"/>
      <c r="O212" s="3"/>
      <c r="P212" s="3"/>
      <c r="Q212" s="3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4"/>
      <c r="AG212" s="4"/>
      <c r="AJ212" s="11"/>
      <c r="AM212" s="11"/>
      <c r="AN212" s="6"/>
      <c r="AO212"/>
      <c r="AP212"/>
      <c r="AQ212"/>
      <c r="AR212"/>
      <c r="AS212"/>
      <c r="AT212"/>
    </row>
    <row r="213" spans="1:46" x14ac:dyDescent="0.25">
      <c r="A213" s="1"/>
      <c r="B213" s="1"/>
      <c r="C213" s="1"/>
      <c r="D213" s="1"/>
      <c r="E213" s="1"/>
      <c r="F213" s="1"/>
      <c r="G213" s="8"/>
      <c r="H213" s="1"/>
      <c r="I213" s="1"/>
      <c r="J213" s="1"/>
      <c r="K213" s="1"/>
      <c r="L213" s="1"/>
      <c r="M213" s="3"/>
      <c r="N213" s="3"/>
      <c r="O213" s="3"/>
      <c r="P213" s="3"/>
      <c r="Q213" s="3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4"/>
      <c r="AG213" s="4"/>
      <c r="AJ213" s="11"/>
      <c r="AM213" s="11"/>
      <c r="AN213" s="6"/>
      <c r="AO213"/>
      <c r="AP213"/>
      <c r="AQ213"/>
      <c r="AR213"/>
      <c r="AS213"/>
      <c r="AT213"/>
    </row>
    <row r="214" spans="1:46" x14ac:dyDescent="0.25">
      <c r="A214" s="1"/>
      <c r="B214" s="1"/>
      <c r="C214" s="1"/>
      <c r="D214" s="1"/>
      <c r="E214" s="1"/>
      <c r="F214" s="1"/>
      <c r="G214" s="8"/>
      <c r="H214" s="1"/>
      <c r="I214" s="1"/>
      <c r="J214" s="1"/>
      <c r="K214" s="1"/>
      <c r="L214" s="1"/>
      <c r="M214" s="3"/>
      <c r="N214" s="3"/>
      <c r="O214" s="3"/>
      <c r="P214" s="3"/>
      <c r="Q214" s="3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4"/>
      <c r="AG214" s="4"/>
      <c r="AJ214" s="11"/>
      <c r="AM214" s="11"/>
      <c r="AN214" s="6"/>
      <c r="AO214"/>
      <c r="AP214"/>
      <c r="AQ214"/>
      <c r="AR214"/>
      <c r="AS214"/>
      <c r="AT214"/>
    </row>
    <row r="215" spans="1:46" x14ac:dyDescent="0.25">
      <c r="A215" s="1"/>
      <c r="B215" s="1"/>
      <c r="C215" s="1"/>
      <c r="D215" s="1"/>
      <c r="E215" s="1"/>
      <c r="F215" s="1"/>
      <c r="G215" s="8"/>
      <c r="H215" s="1"/>
      <c r="I215" s="1"/>
      <c r="J215" s="1"/>
      <c r="K215" s="1"/>
      <c r="L215" s="1"/>
      <c r="M215" s="3"/>
      <c r="N215" s="3"/>
      <c r="O215" s="3"/>
      <c r="P215" s="3"/>
      <c r="Q215" s="3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4"/>
      <c r="AG215" s="4"/>
      <c r="AJ215" s="11"/>
      <c r="AM215" s="11"/>
      <c r="AN215" s="6"/>
      <c r="AO215"/>
      <c r="AP215"/>
      <c r="AQ215"/>
      <c r="AR215"/>
      <c r="AS215"/>
      <c r="AT215"/>
    </row>
    <row r="216" spans="1:46" x14ac:dyDescent="0.25">
      <c r="A216" s="1"/>
      <c r="B216" s="1"/>
      <c r="C216" s="1"/>
      <c r="D216" s="1"/>
      <c r="E216" s="1"/>
      <c r="F216" s="1"/>
      <c r="G216" s="8"/>
      <c r="H216" s="1"/>
      <c r="I216" s="1"/>
      <c r="J216" s="1"/>
      <c r="K216" s="1"/>
      <c r="L216" s="1"/>
      <c r="M216" s="3"/>
      <c r="N216" s="3"/>
      <c r="O216" s="3"/>
      <c r="P216" s="3"/>
      <c r="Q216" s="3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4"/>
      <c r="AG216" s="4"/>
      <c r="AJ216" s="11"/>
      <c r="AM216" s="11"/>
      <c r="AN216" s="6"/>
      <c r="AO216"/>
      <c r="AP216"/>
      <c r="AQ216"/>
      <c r="AR216"/>
      <c r="AS216"/>
      <c r="AT216"/>
    </row>
    <row r="217" spans="1:46" x14ac:dyDescent="0.25">
      <c r="A217" s="1"/>
      <c r="B217" s="1"/>
      <c r="C217" s="1"/>
      <c r="D217" s="1"/>
      <c r="E217" s="1"/>
      <c r="F217" s="1"/>
      <c r="G217" s="8"/>
      <c r="H217" s="1"/>
      <c r="I217" s="1"/>
      <c r="J217" s="1"/>
      <c r="K217" s="1"/>
      <c r="L217" s="1"/>
      <c r="M217" s="3"/>
      <c r="N217" s="3"/>
      <c r="O217" s="3"/>
      <c r="P217" s="3"/>
      <c r="Q217" s="3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4"/>
      <c r="AG217" s="4"/>
      <c r="AH217" s="4"/>
      <c r="AI217" s="4"/>
      <c r="AJ217" s="11"/>
      <c r="AK217" s="11"/>
      <c r="AL217" s="10"/>
      <c r="AM217" s="11"/>
      <c r="AN217" s="6"/>
      <c r="AO217"/>
      <c r="AP217"/>
      <c r="AQ217"/>
      <c r="AR217"/>
      <c r="AS217"/>
      <c r="AT217"/>
    </row>
    <row r="218" spans="1:46" x14ac:dyDescent="0.25">
      <c r="A218" s="1"/>
      <c r="B218" s="1"/>
      <c r="C218" s="1"/>
      <c r="D218" s="1"/>
      <c r="E218" s="1"/>
      <c r="F218" s="1"/>
      <c r="G218" s="8"/>
      <c r="H218" s="1"/>
      <c r="I218" s="1"/>
      <c r="J218" s="1"/>
      <c r="K218" s="1"/>
      <c r="L218" s="1"/>
      <c r="M218" s="3"/>
      <c r="N218" s="3"/>
      <c r="O218" s="3"/>
      <c r="P218" s="3"/>
      <c r="Q218" s="3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4"/>
      <c r="AG218" s="4"/>
      <c r="AH218" s="4"/>
      <c r="AI218" s="4"/>
      <c r="AJ218" s="11"/>
      <c r="AK218" s="11"/>
      <c r="AL218" s="10"/>
      <c r="AM218" s="11"/>
      <c r="AN218" s="6"/>
      <c r="AO218"/>
      <c r="AP218"/>
      <c r="AQ218"/>
      <c r="AR218"/>
      <c r="AS218"/>
      <c r="AT218"/>
    </row>
    <row r="219" spans="1:46" x14ac:dyDescent="0.25">
      <c r="A219" s="1"/>
      <c r="B219" s="1"/>
      <c r="C219" s="1"/>
      <c r="D219" s="1"/>
      <c r="E219" s="1"/>
      <c r="F219" s="1"/>
      <c r="G219" s="8"/>
      <c r="H219" s="1"/>
      <c r="I219" s="1"/>
      <c r="J219" s="1"/>
      <c r="K219" s="1"/>
      <c r="L219" s="1"/>
      <c r="M219" s="3"/>
      <c r="N219" s="3"/>
      <c r="O219" s="3"/>
      <c r="P219" s="3"/>
      <c r="Q219" s="3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4"/>
      <c r="AG219" s="4"/>
      <c r="AJ219" s="11"/>
      <c r="AM219" s="11"/>
      <c r="AN219" s="6"/>
      <c r="AO219"/>
      <c r="AP219"/>
      <c r="AQ219"/>
      <c r="AR219"/>
      <c r="AS219"/>
      <c r="AT219"/>
    </row>
    <row r="220" spans="1:46" x14ac:dyDescent="0.25">
      <c r="A220" s="1"/>
      <c r="B220" s="1"/>
      <c r="C220" s="1"/>
      <c r="D220" s="1"/>
      <c r="E220" s="1"/>
      <c r="F220" s="1"/>
      <c r="G220" s="8"/>
      <c r="H220" s="1"/>
      <c r="I220" s="1"/>
      <c r="J220" s="1"/>
      <c r="K220" s="1"/>
      <c r="L220" s="1"/>
      <c r="M220" s="3"/>
      <c r="N220" s="3"/>
      <c r="O220" s="3"/>
      <c r="P220" s="3"/>
      <c r="Q220" s="3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4"/>
      <c r="AG220" s="4"/>
      <c r="AJ220" s="11"/>
      <c r="AM220" s="11"/>
      <c r="AN220" s="6"/>
      <c r="AO220"/>
      <c r="AP220"/>
      <c r="AQ220"/>
      <c r="AR220"/>
      <c r="AS220"/>
      <c r="AT220"/>
    </row>
    <row r="221" spans="1:46" x14ac:dyDescent="0.25">
      <c r="A221" s="1"/>
      <c r="B221" s="1"/>
      <c r="C221" s="1"/>
      <c r="D221" s="1"/>
      <c r="E221" s="1"/>
      <c r="F221" s="1"/>
      <c r="G221" s="8"/>
      <c r="H221" s="1"/>
      <c r="I221" s="1"/>
      <c r="J221" s="1"/>
      <c r="K221" s="1"/>
      <c r="L221" s="1"/>
      <c r="M221" s="3"/>
      <c r="N221" s="3"/>
      <c r="O221" s="3"/>
      <c r="P221" s="3"/>
      <c r="Q221" s="3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4"/>
      <c r="AG221" s="4"/>
      <c r="AJ221" s="11"/>
      <c r="AM221" s="11"/>
      <c r="AN221" s="6"/>
      <c r="AO221"/>
      <c r="AP221"/>
      <c r="AQ221"/>
      <c r="AR221"/>
      <c r="AS221"/>
      <c r="AT221"/>
    </row>
    <row r="222" spans="1:46" x14ac:dyDescent="0.25">
      <c r="A222" s="1"/>
      <c r="B222" s="1"/>
      <c r="C222" s="1"/>
      <c r="D222" s="1"/>
      <c r="E222" s="1"/>
      <c r="F222" s="1"/>
      <c r="G222" s="8"/>
      <c r="H222" s="1"/>
      <c r="I222" s="1"/>
      <c r="J222" s="1"/>
      <c r="K222" s="1"/>
      <c r="L222" s="1"/>
      <c r="M222" s="3"/>
      <c r="N222" s="3"/>
      <c r="O222" s="3"/>
      <c r="P222" s="3"/>
      <c r="Q222" s="3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4"/>
      <c r="AG222" s="4"/>
      <c r="AJ222" s="11"/>
      <c r="AM222" s="11"/>
      <c r="AN222" s="6"/>
      <c r="AO222"/>
      <c r="AP222"/>
      <c r="AQ222"/>
      <c r="AR222"/>
      <c r="AS222"/>
      <c r="AT222"/>
    </row>
    <row r="223" spans="1:46" x14ac:dyDescent="0.25">
      <c r="A223" s="1"/>
      <c r="B223" s="1"/>
      <c r="C223" s="1"/>
      <c r="D223" s="1"/>
      <c r="E223" s="1"/>
      <c r="F223" s="1"/>
      <c r="G223" s="8"/>
      <c r="H223" s="1"/>
      <c r="I223" s="1"/>
      <c r="J223" s="1"/>
      <c r="K223" s="1"/>
      <c r="L223" s="1"/>
      <c r="M223" s="3"/>
      <c r="N223" s="3"/>
      <c r="O223" s="3"/>
      <c r="P223" s="3"/>
      <c r="Q223" s="3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4"/>
      <c r="AG223" s="4"/>
      <c r="AJ223" s="11"/>
      <c r="AM223" s="11"/>
      <c r="AN223" s="6"/>
      <c r="AO223"/>
      <c r="AP223"/>
      <c r="AQ223"/>
      <c r="AR223"/>
      <c r="AS223"/>
      <c r="AT223"/>
    </row>
    <row r="224" spans="1:46" x14ac:dyDescent="0.25">
      <c r="A224" s="1"/>
      <c r="B224" s="1"/>
      <c r="C224" s="1"/>
      <c r="D224" s="1"/>
      <c r="E224" s="1"/>
      <c r="F224" s="1"/>
      <c r="G224" s="8"/>
      <c r="H224" s="1"/>
      <c r="I224" s="1"/>
      <c r="J224" s="1"/>
      <c r="K224" s="1"/>
      <c r="L224" s="1"/>
      <c r="M224" s="3"/>
      <c r="N224" s="3"/>
      <c r="O224" s="3"/>
      <c r="P224" s="3"/>
      <c r="Q224" s="3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4"/>
      <c r="AG224" s="4"/>
      <c r="AJ224" s="11"/>
      <c r="AM224" s="11"/>
      <c r="AN224" s="6"/>
      <c r="AO224"/>
      <c r="AP224"/>
      <c r="AQ224"/>
      <c r="AR224"/>
      <c r="AS224"/>
      <c r="AT224"/>
    </row>
    <row r="225" spans="1:46" x14ac:dyDescent="0.25">
      <c r="A225" s="1"/>
      <c r="B225" s="1"/>
      <c r="C225" s="1"/>
      <c r="D225" s="1"/>
      <c r="E225" s="1"/>
      <c r="F225" s="1"/>
      <c r="G225" s="8"/>
      <c r="H225" s="1"/>
      <c r="I225" s="1"/>
      <c r="J225" s="1"/>
      <c r="K225" s="1"/>
      <c r="L225" s="1"/>
      <c r="M225" s="3"/>
      <c r="N225" s="3"/>
      <c r="O225" s="3"/>
      <c r="P225" s="3"/>
      <c r="Q225" s="3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4"/>
      <c r="AG225" s="4"/>
      <c r="AJ225" s="11"/>
      <c r="AM225" s="11"/>
      <c r="AN225" s="6"/>
      <c r="AO225"/>
      <c r="AP225"/>
      <c r="AQ225"/>
      <c r="AR225"/>
      <c r="AS225"/>
      <c r="AT225"/>
    </row>
    <row r="226" spans="1:46" x14ac:dyDescent="0.25">
      <c r="A226" s="1"/>
      <c r="B226" s="1"/>
      <c r="C226" s="1"/>
      <c r="D226" s="1"/>
      <c r="E226" s="1"/>
      <c r="F226" s="1"/>
      <c r="G226" s="8"/>
      <c r="H226" s="1"/>
      <c r="I226" s="1"/>
      <c r="J226" s="1"/>
      <c r="K226" s="1"/>
      <c r="L226" s="1"/>
      <c r="M226" s="3"/>
      <c r="N226" s="3"/>
      <c r="O226" s="3"/>
      <c r="P226" s="3"/>
      <c r="Q226" s="3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4"/>
      <c r="AG226" s="4"/>
      <c r="AJ226" s="11"/>
      <c r="AM226" s="11"/>
      <c r="AN226" s="6"/>
      <c r="AO226"/>
      <c r="AP226"/>
      <c r="AQ226"/>
      <c r="AR226"/>
      <c r="AS226"/>
      <c r="AT226"/>
    </row>
    <row r="227" spans="1:46" x14ac:dyDescent="0.25">
      <c r="A227" s="1"/>
      <c r="B227" s="1"/>
      <c r="C227" s="1"/>
      <c r="D227" s="1"/>
      <c r="E227" s="1"/>
      <c r="F227" s="1"/>
      <c r="G227" s="8"/>
      <c r="H227" s="1"/>
      <c r="I227" s="1"/>
      <c r="J227" s="1"/>
      <c r="K227" s="1"/>
      <c r="L227" s="1"/>
      <c r="M227" s="3"/>
      <c r="N227" s="3"/>
      <c r="O227" s="3"/>
      <c r="P227" s="3"/>
      <c r="Q227" s="3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4"/>
      <c r="AG227" s="4"/>
      <c r="AJ227" s="11"/>
      <c r="AM227" s="11"/>
      <c r="AN227" s="6"/>
      <c r="AO227"/>
      <c r="AP227"/>
      <c r="AQ227"/>
      <c r="AR227"/>
      <c r="AS227"/>
      <c r="AT227"/>
    </row>
    <row r="228" spans="1:46" x14ac:dyDescent="0.25">
      <c r="A228" s="1"/>
      <c r="B228" s="1"/>
      <c r="C228" s="1"/>
      <c r="D228" s="1"/>
      <c r="E228" s="1"/>
      <c r="F228" s="1"/>
      <c r="G228" s="8"/>
      <c r="H228" s="1"/>
      <c r="I228" s="1"/>
      <c r="J228" s="1"/>
      <c r="K228" s="1"/>
      <c r="L228" s="1"/>
      <c r="M228" s="3"/>
      <c r="N228" s="3"/>
      <c r="O228" s="3"/>
      <c r="P228" s="3"/>
      <c r="Q228" s="3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4"/>
      <c r="AG228" s="4"/>
      <c r="AJ228" s="11"/>
      <c r="AM228" s="11"/>
      <c r="AN228" s="6"/>
      <c r="AO228"/>
      <c r="AP228"/>
      <c r="AQ228"/>
      <c r="AR228"/>
      <c r="AS228"/>
      <c r="AT228"/>
    </row>
    <row r="229" spans="1:46" x14ac:dyDescent="0.25">
      <c r="A229" s="1"/>
      <c r="B229" s="1"/>
      <c r="C229" s="1"/>
      <c r="D229" s="1"/>
      <c r="E229" s="1"/>
      <c r="F229" s="1"/>
      <c r="G229" s="8"/>
      <c r="H229" s="1"/>
      <c r="I229" s="1"/>
      <c r="J229" s="1"/>
      <c r="K229" s="1"/>
      <c r="L229" s="1"/>
      <c r="M229" s="3"/>
      <c r="N229" s="3"/>
      <c r="O229" s="3"/>
      <c r="P229" s="3"/>
      <c r="Q229" s="3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4"/>
      <c r="AG229" s="4"/>
      <c r="AJ229" s="11"/>
      <c r="AM229" s="11"/>
      <c r="AN229" s="6"/>
      <c r="AO229"/>
      <c r="AP229"/>
      <c r="AQ229"/>
      <c r="AR229"/>
      <c r="AS229"/>
      <c r="AT229"/>
    </row>
    <row r="230" spans="1:46" x14ac:dyDescent="0.25">
      <c r="A230" s="1"/>
      <c r="B230" s="1"/>
      <c r="C230" s="1"/>
      <c r="D230" s="1"/>
      <c r="E230" s="1"/>
      <c r="F230" s="1"/>
      <c r="G230" s="8"/>
      <c r="H230" s="1"/>
      <c r="I230" s="1"/>
      <c r="J230" s="1"/>
      <c r="K230" s="1"/>
      <c r="L230" s="1"/>
      <c r="M230" s="3"/>
      <c r="N230" s="3"/>
      <c r="O230" s="3"/>
      <c r="P230" s="3"/>
      <c r="Q230" s="3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4"/>
      <c r="AG230" s="4"/>
      <c r="AJ230" s="11"/>
      <c r="AM230" s="11"/>
      <c r="AN230" s="6"/>
      <c r="AO230"/>
      <c r="AP230"/>
      <c r="AQ230"/>
      <c r="AR230"/>
      <c r="AS230"/>
      <c r="AT230"/>
    </row>
    <row r="231" spans="1:46" x14ac:dyDescent="0.25">
      <c r="A231" s="1"/>
      <c r="B231" s="1"/>
      <c r="C231" s="1"/>
      <c r="D231" s="1"/>
      <c r="E231" s="1"/>
      <c r="F231" s="1"/>
      <c r="G231" s="8"/>
      <c r="H231" s="1"/>
      <c r="I231" s="1"/>
      <c r="J231" s="1"/>
      <c r="K231" s="1"/>
      <c r="L231" s="1"/>
      <c r="M231" s="3"/>
      <c r="N231" s="3"/>
      <c r="O231" s="3"/>
      <c r="P231" s="3"/>
      <c r="Q231" s="3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4"/>
      <c r="AG231" s="4"/>
      <c r="AJ231" s="11"/>
      <c r="AM231" s="11"/>
      <c r="AN231" s="6"/>
      <c r="AO231"/>
      <c r="AP231"/>
      <c r="AQ231"/>
      <c r="AR231"/>
      <c r="AS231"/>
      <c r="AT231"/>
    </row>
    <row r="232" spans="1:46" x14ac:dyDescent="0.25">
      <c r="A232" s="1"/>
      <c r="B232" s="1"/>
      <c r="C232" s="1"/>
      <c r="D232" s="1"/>
      <c r="E232" s="1"/>
      <c r="F232" s="1"/>
      <c r="G232" s="8"/>
      <c r="H232" s="1"/>
      <c r="I232" s="1"/>
      <c r="J232" s="1"/>
      <c r="K232" s="1"/>
      <c r="L232" s="1"/>
      <c r="M232" s="3"/>
      <c r="N232" s="3"/>
      <c r="O232" s="3"/>
      <c r="P232" s="3"/>
      <c r="Q232" s="3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4"/>
      <c r="AG232" s="4"/>
      <c r="AJ232" s="11"/>
      <c r="AM232" s="11"/>
      <c r="AN232" s="6"/>
      <c r="AO232"/>
      <c r="AP232"/>
      <c r="AQ232"/>
      <c r="AR232"/>
      <c r="AS232"/>
      <c r="AT232"/>
    </row>
    <row r="233" spans="1:46" x14ac:dyDescent="0.25">
      <c r="A233" s="1"/>
      <c r="B233" s="1"/>
      <c r="C233" s="1"/>
      <c r="D233" s="1"/>
      <c r="E233" s="1"/>
      <c r="F233" s="1"/>
      <c r="G233" s="8"/>
      <c r="H233" s="1"/>
      <c r="I233" s="1"/>
      <c r="J233" s="1"/>
      <c r="K233" s="1"/>
      <c r="L233" s="1"/>
      <c r="M233" s="3"/>
      <c r="N233" s="3"/>
      <c r="O233" s="3"/>
      <c r="P233" s="3"/>
      <c r="Q233" s="3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4"/>
      <c r="AG233" s="4"/>
      <c r="AJ233" s="11"/>
      <c r="AM233" s="11"/>
      <c r="AN233" s="6"/>
      <c r="AO233"/>
      <c r="AP233"/>
      <c r="AQ233"/>
      <c r="AR233"/>
      <c r="AS233"/>
      <c r="AT233"/>
    </row>
    <row r="234" spans="1:46" x14ac:dyDescent="0.25">
      <c r="A234" s="1"/>
      <c r="B234" s="1"/>
      <c r="C234" s="1"/>
      <c r="D234" s="1"/>
      <c r="E234" s="1"/>
      <c r="F234" s="1"/>
      <c r="G234" s="8"/>
      <c r="H234" s="1"/>
      <c r="I234" s="1"/>
      <c r="J234" s="1"/>
      <c r="K234" s="1"/>
      <c r="L234" s="1"/>
      <c r="M234" s="3"/>
      <c r="N234" s="3"/>
      <c r="O234" s="3"/>
      <c r="P234" s="3"/>
      <c r="Q234" s="3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4"/>
      <c r="AG234" s="4"/>
      <c r="AJ234" s="11"/>
      <c r="AM234" s="11"/>
      <c r="AN234" s="6"/>
      <c r="AO234"/>
      <c r="AP234"/>
      <c r="AQ234"/>
      <c r="AR234"/>
      <c r="AS234"/>
      <c r="AT234"/>
    </row>
    <row r="235" spans="1:46" x14ac:dyDescent="0.25">
      <c r="A235" s="1"/>
      <c r="B235" s="1"/>
      <c r="C235" s="1"/>
      <c r="D235" s="1"/>
      <c r="E235" s="1"/>
      <c r="F235" s="1"/>
      <c r="G235" s="8"/>
      <c r="H235" s="1"/>
      <c r="I235" s="1"/>
      <c r="J235" s="1"/>
      <c r="K235" s="1"/>
      <c r="L235" s="1"/>
      <c r="M235" s="3"/>
      <c r="N235" s="3"/>
      <c r="O235" s="3"/>
      <c r="P235" s="3"/>
      <c r="Q235" s="3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4"/>
      <c r="AG235" s="4"/>
      <c r="AJ235" s="11"/>
      <c r="AM235" s="11"/>
      <c r="AN235" s="6"/>
      <c r="AO235"/>
      <c r="AP235"/>
      <c r="AQ235"/>
      <c r="AR235"/>
      <c r="AS235"/>
      <c r="AT235"/>
    </row>
    <row r="236" spans="1:46" x14ac:dyDescent="0.25">
      <c r="A236" s="1"/>
      <c r="B236" s="1"/>
      <c r="C236" s="1"/>
      <c r="D236" s="1"/>
      <c r="E236" s="1"/>
      <c r="F236" s="1"/>
      <c r="G236" s="8"/>
      <c r="H236" s="1"/>
      <c r="I236" s="1"/>
      <c r="J236" s="1"/>
      <c r="K236" s="1"/>
      <c r="L236" s="1"/>
      <c r="M236" s="3"/>
      <c r="N236" s="3"/>
      <c r="O236" s="3"/>
      <c r="P236" s="3"/>
      <c r="Q236" s="3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4"/>
      <c r="AG236" s="4"/>
      <c r="AJ236" s="11"/>
      <c r="AM236" s="11"/>
      <c r="AN236" s="6"/>
      <c r="AO236"/>
      <c r="AP236"/>
      <c r="AQ236"/>
      <c r="AR236"/>
      <c r="AS236"/>
      <c r="AT236"/>
    </row>
    <row r="237" spans="1:46" x14ac:dyDescent="0.25">
      <c r="A237" s="1"/>
      <c r="B237" s="1"/>
      <c r="C237" s="1"/>
      <c r="D237" s="1"/>
      <c r="E237" s="1"/>
      <c r="F237" s="1"/>
      <c r="G237" s="8"/>
      <c r="H237" s="1"/>
      <c r="I237" s="1"/>
      <c r="J237" s="1"/>
      <c r="K237" s="1"/>
      <c r="L237" s="1"/>
      <c r="M237" s="3"/>
      <c r="N237" s="3"/>
      <c r="O237" s="3"/>
      <c r="P237" s="3"/>
      <c r="Q237" s="3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4"/>
      <c r="AG237" s="4"/>
      <c r="AH237" s="4"/>
      <c r="AI237" s="4"/>
      <c r="AJ237" s="11"/>
      <c r="AK237" s="11"/>
      <c r="AL237" s="10"/>
      <c r="AM237" s="11"/>
      <c r="AN237" s="6"/>
      <c r="AO237"/>
      <c r="AP237"/>
      <c r="AQ237"/>
      <c r="AR237"/>
      <c r="AS237"/>
      <c r="AT237"/>
    </row>
    <row r="238" spans="1:46" x14ac:dyDescent="0.25">
      <c r="A238" s="1"/>
      <c r="B238" s="1"/>
      <c r="C238" s="1"/>
      <c r="D238" s="1"/>
      <c r="E238" s="1"/>
      <c r="F238" s="1"/>
      <c r="G238" s="8"/>
      <c r="H238" s="1"/>
      <c r="I238" s="1"/>
      <c r="J238" s="1"/>
      <c r="K238" s="1"/>
      <c r="L238" s="1"/>
      <c r="M238" s="3"/>
      <c r="N238" s="3"/>
      <c r="O238" s="3"/>
      <c r="P238" s="3"/>
      <c r="Q238" s="3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4"/>
      <c r="AG238" s="4"/>
      <c r="AH238" s="4"/>
      <c r="AI238" s="4"/>
      <c r="AJ238" s="11"/>
      <c r="AK238" s="11"/>
      <c r="AL238" s="10"/>
      <c r="AM238" s="11"/>
      <c r="AN238" s="6"/>
      <c r="AO238"/>
      <c r="AP238"/>
      <c r="AQ238"/>
      <c r="AR238"/>
      <c r="AS238"/>
      <c r="AT238"/>
    </row>
    <row r="239" spans="1:46" x14ac:dyDescent="0.25">
      <c r="A239" s="1"/>
      <c r="B239" s="1"/>
      <c r="C239" s="1"/>
      <c r="D239" s="1"/>
      <c r="E239" s="1"/>
      <c r="F239" s="1"/>
      <c r="G239" s="8"/>
      <c r="H239" s="1"/>
      <c r="I239" s="1"/>
      <c r="J239" s="1"/>
      <c r="K239" s="1"/>
      <c r="L239" s="1"/>
      <c r="M239" s="3"/>
      <c r="N239" s="3"/>
      <c r="O239" s="3"/>
      <c r="P239" s="3"/>
      <c r="Q239" s="3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4"/>
      <c r="AG239" s="4"/>
      <c r="AJ239" s="11"/>
      <c r="AM239" s="11"/>
      <c r="AN239" s="6"/>
      <c r="AO239"/>
      <c r="AP239"/>
      <c r="AQ239"/>
      <c r="AR239"/>
      <c r="AS239"/>
      <c r="AT239"/>
    </row>
    <row r="240" spans="1:46" x14ac:dyDescent="0.25">
      <c r="A240" s="1"/>
      <c r="B240" s="1"/>
      <c r="C240" s="1"/>
      <c r="D240" s="1"/>
      <c r="E240" s="1"/>
      <c r="F240" s="1"/>
      <c r="G240" s="8"/>
      <c r="H240" s="1"/>
      <c r="I240" s="1"/>
      <c r="J240" s="1"/>
      <c r="K240" s="1"/>
      <c r="L240" s="1"/>
      <c r="M240" s="3"/>
      <c r="N240" s="3"/>
      <c r="O240" s="3"/>
      <c r="P240" s="3"/>
      <c r="Q240" s="3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4"/>
      <c r="AG240" s="4"/>
      <c r="AJ240" s="11"/>
      <c r="AM240" s="11"/>
      <c r="AN240" s="6"/>
      <c r="AO240"/>
      <c r="AP240"/>
      <c r="AQ240"/>
      <c r="AR240"/>
      <c r="AS240"/>
      <c r="AT240"/>
    </row>
    <row r="241" spans="1:46" x14ac:dyDescent="0.25">
      <c r="A241" s="1"/>
      <c r="B241" s="1"/>
      <c r="C241" s="1"/>
      <c r="D241" s="1"/>
      <c r="E241" s="1"/>
      <c r="F241" s="1"/>
      <c r="G241" s="8"/>
      <c r="H241" s="1"/>
      <c r="I241" s="1"/>
      <c r="J241" s="1"/>
      <c r="K241" s="1"/>
      <c r="L241" s="1"/>
      <c r="M241" s="3"/>
      <c r="N241" s="3"/>
      <c r="O241" s="3"/>
      <c r="P241" s="3"/>
      <c r="Q241" s="3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4"/>
      <c r="AG241" s="4"/>
      <c r="AJ241" s="11"/>
      <c r="AM241" s="11"/>
      <c r="AN241" s="6"/>
      <c r="AO241"/>
      <c r="AP241"/>
      <c r="AQ241"/>
      <c r="AR241"/>
      <c r="AS241"/>
      <c r="AT241"/>
    </row>
    <row r="242" spans="1:46" x14ac:dyDescent="0.25">
      <c r="A242" s="1"/>
      <c r="B242" s="1"/>
      <c r="C242" s="1"/>
      <c r="D242" s="1"/>
      <c r="E242" s="1"/>
      <c r="F242" s="1"/>
      <c r="G242" s="8"/>
      <c r="H242" s="1"/>
      <c r="I242" s="1"/>
      <c r="J242" s="1"/>
      <c r="K242" s="1"/>
      <c r="L242" s="1"/>
      <c r="M242" s="3"/>
      <c r="N242" s="3"/>
      <c r="O242" s="3"/>
      <c r="P242" s="3"/>
      <c r="Q242" s="3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4"/>
      <c r="AG242" s="4"/>
      <c r="AH242" s="4"/>
      <c r="AI242" s="4"/>
      <c r="AJ242" s="11"/>
      <c r="AK242" s="11"/>
      <c r="AL242" s="10"/>
      <c r="AM242" s="11"/>
      <c r="AN242" s="6"/>
      <c r="AO242"/>
      <c r="AP242"/>
      <c r="AQ242"/>
      <c r="AR242"/>
      <c r="AS242"/>
      <c r="AT242"/>
    </row>
    <row r="243" spans="1:46" x14ac:dyDescent="0.25">
      <c r="A243" s="1"/>
      <c r="B243" s="1"/>
      <c r="C243" s="1"/>
      <c r="D243" s="1"/>
      <c r="E243" s="1"/>
      <c r="F243" s="1"/>
      <c r="G243" s="8"/>
      <c r="H243" s="1"/>
      <c r="I243" s="1"/>
      <c r="J243" s="1"/>
      <c r="K243" s="1"/>
      <c r="L243" s="1"/>
      <c r="M243" s="3"/>
      <c r="N243" s="3"/>
      <c r="O243" s="3"/>
      <c r="P243" s="3"/>
      <c r="Q243" s="3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4"/>
      <c r="AG243" s="4"/>
      <c r="AH243" s="4"/>
      <c r="AI243" s="4"/>
      <c r="AJ243" s="11"/>
      <c r="AK243" s="11"/>
      <c r="AL243" s="10"/>
      <c r="AM243" s="11"/>
      <c r="AN243" s="6"/>
      <c r="AO243"/>
      <c r="AP243"/>
      <c r="AQ243"/>
      <c r="AR243"/>
      <c r="AS243"/>
      <c r="AT243"/>
    </row>
    <row r="244" spans="1:46" x14ac:dyDescent="0.25">
      <c r="A244" s="1"/>
      <c r="B244" s="1"/>
      <c r="C244" s="1"/>
      <c r="D244" s="1"/>
      <c r="E244" s="1"/>
      <c r="F244" s="1"/>
      <c r="G244" s="8"/>
      <c r="H244" s="1"/>
      <c r="I244" s="1"/>
      <c r="J244" s="1"/>
      <c r="K244" s="1"/>
      <c r="L244" s="1"/>
      <c r="M244" s="3"/>
      <c r="N244" s="3"/>
      <c r="O244" s="3"/>
      <c r="P244" s="3"/>
      <c r="Q244" s="3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4"/>
      <c r="AG244" s="4"/>
      <c r="AJ244" s="11"/>
      <c r="AM244" s="11"/>
      <c r="AN244" s="6"/>
      <c r="AO244"/>
      <c r="AP244"/>
      <c r="AQ244"/>
      <c r="AR244"/>
      <c r="AS244"/>
      <c r="AT244"/>
    </row>
    <row r="245" spans="1:46" x14ac:dyDescent="0.25">
      <c r="A245" s="1"/>
      <c r="B245" s="1"/>
      <c r="C245" s="1"/>
      <c r="D245" s="1"/>
      <c r="E245" s="1"/>
      <c r="F245" s="1"/>
      <c r="G245" s="8"/>
      <c r="H245" s="1"/>
      <c r="I245" s="1"/>
      <c r="J245" s="1"/>
      <c r="K245" s="1"/>
      <c r="L245" s="1"/>
      <c r="M245" s="3"/>
      <c r="N245" s="3"/>
      <c r="O245" s="3"/>
      <c r="P245" s="3"/>
      <c r="Q245" s="3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4"/>
      <c r="AG245" s="4"/>
      <c r="AJ245" s="11"/>
      <c r="AM245" s="11"/>
      <c r="AN245" s="6"/>
      <c r="AO245"/>
      <c r="AP245"/>
      <c r="AQ245"/>
      <c r="AR245"/>
      <c r="AS245"/>
      <c r="AT245"/>
    </row>
    <row r="246" spans="1:46" x14ac:dyDescent="0.25">
      <c r="A246" s="1"/>
      <c r="B246" s="1"/>
      <c r="C246" s="1"/>
      <c r="D246" s="1"/>
      <c r="E246" s="1"/>
      <c r="F246" s="1"/>
      <c r="G246" s="8"/>
      <c r="H246" s="1"/>
      <c r="I246" s="1"/>
      <c r="J246" s="1"/>
      <c r="K246" s="1"/>
      <c r="L246" s="1"/>
      <c r="M246" s="3"/>
      <c r="N246" s="3"/>
      <c r="O246" s="3"/>
      <c r="P246" s="3"/>
      <c r="Q246" s="3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4"/>
      <c r="AG246" s="4"/>
      <c r="AJ246" s="11"/>
      <c r="AM246" s="11"/>
      <c r="AN246" s="6"/>
      <c r="AO246"/>
      <c r="AP246"/>
      <c r="AQ246"/>
      <c r="AR246"/>
      <c r="AS246"/>
      <c r="AT246"/>
    </row>
    <row r="247" spans="1:46" x14ac:dyDescent="0.25">
      <c r="A247" s="1"/>
      <c r="B247" s="1"/>
      <c r="C247" s="1"/>
      <c r="D247" s="1"/>
      <c r="E247" s="1"/>
      <c r="F247" s="1"/>
      <c r="G247" s="8"/>
      <c r="H247" s="1"/>
      <c r="I247" s="1"/>
      <c r="J247" s="1"/>
      <c r="K247" s="1"/>
      <c r="L247" s="1"/>
      <c r="M247" s="3"/>
      <c r="N247" s="3"/>
      <c r="O247" s="3"/>
      <c r="P247" s="3"/>
      <c r="Q247" s="3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4"/>
      <c r="AG247" s="4"/>
      <c r="AJ247" s="11"/>
      <c r="AM247" s="11"/>
      <c r="AN247" s="6"/>
      <c r="AO247"/>
      <c r="AP247"/>
      <c r="AQ247"/>
      <c r="AR247"/>
      <c r="AS247"/>
      <c r="AT247"/>
    </row>
    <row r="248" spans="1:46" x14ac:dyDescent="0.25">
      <c r="A248" s="1"/>
      <c r="B248" s="1"/>
      <c r="C248" s="1"/>
      <c r="D248" s="1"/>
      <c r="E248" s="1"/>
      <c r="F248" s="1"/>
      <c r="G248" s="8"/>
      <c r="H248" s="1"/>
      <c r="I248" s="1"/>
      <c r="J248" s="1"/>
      <c r="K248" s="1"/>
      <c r="L248" s="1"/>
      <c r="M248" s="3"/>
      <c r="N248" s="3"/>
      <c r="O248" s="3"/>
      <c r="P248" s="3"/>
      <c r="Q248" s="3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4"/>
      <c r="AG248" s="4"/>
      <c r="AJ248" s="11"/>
      <c r="AM248" s="11"/>
      <c r="AN248" s="6"/>
      <c r="AO248"/>
      <c r="AP248"/>
      <c r="AQ248"/>
      <c r="AR248"/>
      <c r="AS248"/>
      <c r="AT248"/>
    </row>
    <row r="249" spans="1:46" x14ac:dyDescent="0.25">
      <c r="A249" s="1"/>
      <c r="B249" s="1"/>
      <c r="C249" s="1"/>
      <c r="D249" s="1"/>
      <c r="E249" s="1"/>
      <c r="F249" s="1"/>
      <c r="G249" s="8"/>
      <c r="H249" s="1"/>
      <c r="I249" s="1"/>
      <c r="J249" s="1"/>
      <c r="K249" s="1"/>
      <c r="L249" s="1"/>
      <c r="M249" s="3"/>
      <c r="N249" s="3"/>
      <c r="O249" s="3"/>
      <c r="P249" s="3"/>
      <c r="Q249" s="3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4"/>
      <c r="AG249" s="4"/>
      <c r="AJ249" s="11"/>
      <c r="AM249" s="11"/>
      <c r="AN249" s="6"/>
      <c r="AO249"/>
      <c r="AP249"/>
      <c r="AQ249"/>
      <c r="AR249"/>
      <c r="AS249"/>
      <c r="AT249"/>
    </row>
    <row r="250" spans="1:46" x14ac:dyDescent="0.25">
      <c r="A250" s="1"/>
      <c r="B250" s="1"/>
      <c r="C250" s="1"/>
      <c r="D250" s="1"/>
      <c r="E250" s="1"/>
      <c r="F250" s="1"/>
      <c r="G250" s="8"/>
      <c r="H250" s="1"/>
      <c r="I250" s="1"/>
      <c r="J250" s="1"/>
      <c r="K250" s="1"/>
      <c r="L250" s="1"/>
      <c r="M250" s="3"/>
      <c r="N250" s="3"/>
      <c r="O250" s="3"/>
      <c r="P250" s="3"/>
      <c r="Q250" s="3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4"/>
      <c r="AG250" s="4"/>
      <c r="AJ250" s="11"/>
      <c r="AM250" s="11"/>
      <c r="AN250" s="6"/>
      <c r="AO250"/>
      <c r="AP250"/>
      <c r="AQ250"/>
      <c r="AR250"/>
      <c r="AS250"/>
      <c r="AT250"/>
    </row>
    <row r="251" spans="1:46" x14ac:dyDescent="0.25">
      <c r="A251" s="1"/>
      <c r="B251" s="1"/>
      <c r="C251" s="1"/>
      <c r="D251" s="1"/>
      <c r="E251" s="1"/>
      <c r="F251" s="1"/>
      <c r="G251" s="8"/>
      <c r="H251" s="1"/>
      <c r="I251" s="1"/>
      <c r="J251" s="1"/>
      <c r="K251" s="1"/>
      <c r="L251" s="1"/>
      <c r="M251" s="3"/>
      <c r="N251" s="3"/>
      <c r="O251" s="3"/>
      <c r="P251" s="3"/>
      <c r="Q251" s="3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4"/>
      <c r="AG251" s="4"/>
      <c r="AJ251" s="11"/>
      <c r="AM251" s="11"/>
      <c r="AN251" s="6"/>
      <c r="AO251"/>
      <c r="AP251"/>
      <c r="AQ251"/>
      <c r="AR251"/>
      <c r="AS251"/>
      <c r="AT251"/>
    </row>
    <row r="252" spans="1:46" x14ac:dyDescent="0.25">
      <c r="A252" s="1"/>
      <c r="B252" s="1"/>
      <c r="C252" s="1"/>
      <c r="D252" s="1"/>
      <c r="E252" s="1"/>
      <c r="F252" s="1"/>
      <c r="G252" s="8"/>
      <c r="H252" s="1"/>
      <c r="I252" s="1"/>
      <c r="J252" s="1"/>
      <c r="K252" s="1"/>
      <c r="L252" s="1"/>
      <c r="M252" s="3"/>
      <c r="N252" s="3"/>
      <c r="O252" s="3"/>
      <c r="P252" s="3"/>
      <c r="Q252" s="3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4"/>
      <c r="AG252" s="4"/>
      <c r="AJ252" s="11"/>
      <c r="AM252" s="11"/>
      <c r="AN252" s="6"/>
      <c r="AO252"/>
      <c r="AP252"/>
      <c r="AQ252"/>
      <c r="AR252"/>
      <c r="AS252"/>
      <c r="AT252"/>
    </row>
    <row r="253" spans="1:46" x14ac:dyDescent="0.25">
      <c r="A253" s="1"/>
      <c r="B253" s="1"/>
      <c r="C253" s="1"/>
      <c r="D253" s="1"/>
      <c r="E253" s="1"/>
      <c r="F253" s="1"/>
      <c r="G253" s="8"/>
      <c r="H253" s="1"/>
      <c r="I253" s="1"/>
      <c r="J253" s="1"/>
      <c r="K253" s="1"/>
      <c r="L253" s="1"/>
      <c r="M253" s="3"/>
      <c r="N253" s="3"/>
      <c r="O253" s="3"/>
      <c r="P253" s="3"/>
      <c r="Q253" s="3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4"/>
      <c r="AG253" s="4"/>
      <c r="AH253" s="4"/>
      <c r="AI253" s="4"/>
      <c r="AJ253" s="11"/>
      <c r="AK253" s="11"/>
      <c r="AL253" s="10"/>
      <c r="AM253" s="11"/>
      <c r="AN253" s="6"/>
      <c r="AO253"/>
      <c r="AP253"/>
      <c r="AQ253"/>
      <c r="AR253"/>
      <c r="AS253"/>
      <c r="AT253"/>
    </row>
    <row r="254" spans="1:46" x14ac:dyDescent="0.25">
      <c r="A254" s="1"/>
      <c r="B254" s="1"/>
      <c r="C254" s="1"/>
      <c r="D254" s="1"/>
      <c r="E254" s="1"/>
      <c r="F254" s="1"/>
      <c r="G254" s="8"/>
      <c r="H254" s="1"/>
      <c r="I254" s="1"/>
      <c r="J254" s="1"/>
      <c r="K254" s="1"/>
      <c r="L254" s="1"/>
      <c r="M254" s="3"/>
      <c r="N254" s="3"/>
      <c r="O254" s="3"/>
      <c r="P254" s="3"/>
      <c r="Q254" s="3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4"/>
      <c r="AG254" s="4"/>
      <c r="AH254" s="4"/>
      <c r="AI254" s="4"/>
      <c r="AJ254" s="11"/>
      <c r="AK254" s="11"/>
      <c r="AL254" s="10"/>
      <c r="AM254" s="11"/>
      <c r="AN254" s="6"/>
      <c r="AO254"/>
      <c r="AP254"/>
      <c r="AQ254"/>
      <c r="AR254"/>
      <c r="AS254"/>
      <c r="AT254"/>
    </row>
    <row r="255" spans="1:46" x14ac:dyDescent="0.25">
      <c r="A255" s="1"/>
      <c r="B255" s="1"/>
      <c r="C255" s="1"/>
      <c r="D255" s="1"/>
      <c r="E255" s="1"/>
      <c r="F255" s="1"/>
      <c r="G255" s="8"/>
      <c r="H255" s="1"/>
      <c r="I255" s="1"/>
      <c r="J255" s="1"/>
      <c r="K255" s="1"/>
      <c r="L255" s="1"/>
      <c r="M255" s="3"/>
      <c r="N255" s="3"/>
      <c r="O255" s="3"/>
      <c r="P255" s="3"/>
      <c r="Q255" s="3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4"/>
      <c r="AG255" s="4"/>
      <c r="AJ255" s="11"/>
      <c r="AM255" s="11"/>
      <c r="AN255" s="6"/>
      <c r="AO255"/>
      <c r="AP255"/>
      <c r="AQ255"/>
      <c r="AR255"/>
      <c r="AS255"/>
      <c r="AT255"/>
    </row>
    <row r="256" spans="1:46" x14ac:dyDescent="0.25">
      <c r="A256" s="1"/>
      <c r="B256" s="1"/>
      <c r="C256" s="1"/>
      <c r="D256" s="1"/>
      <c r="E256" s="1"/>
      <c r="F256" s="1"/>
      <c r="G256" s="8"/>
      <c r="H256" s="1"/>
      <c r="I256" s="1"/>
      <c r="J256" s="1"/>
      <c r="K256" s="1"/>
      <c r="L256" s="1"/>
      <c r="M256" s="3"/>
      <c r="N256" s="3"/>
      <c r="O256" s="3"/>
      <c r="P256" s="3"/>
      <c r="Q256" s="3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4"/>
      <c r="AG256" s="4"/>
      <c r="AJ256" s="11"/>
      <c r="AM256" s="11"/>
      <c r="AN256" s="6"/>
      <c r="AO256"/>
      <c r="AP256"/>
      <c r="AQ256"/>
      <c r="AR256"/>
      <c r="AS256"/>
      <c r="AT256"/>
    </row>
    <row r="257" spans="1:46" x14ac:dyDescent="0.25">
      <c r="A257" s="1"/>
      <c r="B257" s="1"/>
      <c r="C257" s="1"/>
      <c r="D257" s="1"/>
      <c r="E257" s="1"/>
      <c r="F257" s="1"/>
      <c r="G257" s="8"/>
      <c r="H257" s="1"/>
      <c r="I257" s="1"/>
      <c r="J257" s="1"/>
      <c r="K257" s="1"/>
      <c r="L257" s="1"/>
      <c r="M257" s="3"/>
      <c r="N257" s="3"/>
      <c r="O257" s="3"/>
      <c r="P257" s="3"/>
      <c r="Q257" s="3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4"/>
      <c r="AG257" s="4"/>
      <c r="AJ257" s="11"/>
      <c r="AM257" s="11"/>
      <c r="AN257" s="6"/>
      <c r="AO257"/>
      <c r="AP257"/>
      <c r="AQ257"/>
      <c r="AR257"/>
      <c r="AS257"/>
      <c r="AT257"/>
    </row>
    <row r="258" spans="1:46" x14ac:dyDescent="0.25">
      <c r="A258" s="1"/>
      <c r="B258" s="1"/>
      <c r="C258" s="1"/>
      <c r="D258" s="1"/>
      <c r="E258" s="1"/>
      <c r="F258" s="1"/>
      <c r="G258" s="8"/>
      <c r="H258" s="1"/>
      <c r="I258" s="1"/>
      <c r="J258" s="1"/>
      <c r="K258" s="1"/>
      <c r="L258" s="1"/>
      <c r="M258" s="3"/>
      <c r="N258" s="3"/>
      <c r="O258" s="3"/>
      <c r="P258" s="3"/>
      <c r="Q258" s="3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4"/>
      <c r="AG258" s="4"/>
      <c r="AJ258" s="11"/>
      <c r="AM258" s="11"/>
      <c r="AN258" s="6"/>
      <c r="AO258"/>
      <c r="AP258"/>
      <c r="AQ258"/>
      <c r="AR258"/>
      <c r="AS258"/>
      <c r="AT258"/>
    </row>
    <row r="259" spans="1:46" x14ac:dyDescent="0.25">
      <c r="A259" s="1"/>
      <c r="B259" s="1"/>
      <c r="C259" s="1"/>
      <c r="D259" s="1"/>
      <c r="E259" s="1"/>
      <c r="F259" s="1"/>
      <c r="G259" s="8"/>
      <c r="H259" s="1"/>
      <c r="I259" s="1"/>
      <c r="J259" s="1"/>
      <c r="K259" s="1"/>
      <c r="L259" s="1"/>
      <c r="M259" s="3"/>
      <c r="N259" s="3"/>
      <c r="O259" s="3"/>
      <c r="P259" s="3"/>
      <c r="Q259" s="3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4"/>
      <c r="AG259" s="4"/>
      <c r="AJ259" s="11"/>
      <c r="AM259" s="11"/>
      <c r="AN259" s="6"/>
      <c r="AO259"/>
      <c r="AP259"/>
      <c r="AQ259"/>
      <c r="AR259"/>
      <c r="AS259"/>
      <c r="AT259"/>
    </row>
    <row r="260" spans="1:46" x14ac:dyDescent="0.25">
      <c r="A260" s="1"/>
      <c r="B260" s="1"/>
      <c r="C260" s="1"/>
      <c r="D260" s="1"/>
      <c r="E260" s="1"/>
      <c r="F260" s="1"/>
      <c r="G260" s="8"/>
      <c r="H260" s="1"/>
      <c r="I260" s="1"/>
      <c r="J260" s="1"/>
      <c r="K260" s="1"/>
      <c r="L260" s="1"/>
      <c r="M260" s="3"/>
      <c r="N260" s="3"/>
      <c r="O260" s="3"/>
      <c r="P260" s="3"/>
      <c r="Q260" s="3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4"/>
      <c r="AG260" s="4"/>
      <c r="AJ260" s="11"/>
      <c r="AM260" s="11"/>
      <c r="AN260" s="6"/>
      <c r="AO260"/>
      <c r="AP260"/>
      <c r="AQ260"/>
      <c r="AR260"/>
      <c r="AS260"/>
      <c r="AT260"/>
    </row>
    <row r="261" spans="1:46" x14ac:dyDescent="0.25">
      <c r="A261" s="1"/>
      <c r="B261" s="1"/>
      <c r="C261" s="1"/>
      <c r="D261" s="1"/>
      <c r="E261" s="1"/>
      <c r="F261" s="1"/>
      <c r="G261" s="8"/>
      <c r="H261" s="1"/>
      <c r="I261" s="1"/>
      <c r="J261" s="1"/>
      <c r="K261" s="1"/>
      <c r="L261" s="1"/>
      <c r="M261" s="3"/>
      <c r="N261" s="3"/>
      <c r="O261" s="3"/>
      <c r="P261" s="3"/>
      <c r="Q261" s="3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4"/>
      <c r="AG261" s="4"/>
      <c r="AJ261" s="11"/>
      <c r="AM261" s="11"/>
      <c r="AN261" s="6"/>
      <c r="AO261"/>
      <c r="AP261"/>
      <c r="AQ261"/>
      <c r="AR261"/>
      <c r="AS261"/>
      <c r="AT261"/>
    </row>
    <row r="262" spans="1:46" x14ac:dyDescent="0.25">
      <c r="A262" s="1"/>
      <c r="B262" s="1"/>
      <c r="C262" s="1"/>
      <c r="D262" s="1"/>
      <c r="E262" s="1"/>
      <c r="F262" s="1"/>
      <c r="G262" s="8"/>
      <c r="H262" s="1"/>
      <c r="I262" s="1"/>
      <c r="J262" s="1"/>
      <c r="K262" s="1"/>
      <c r="L262" s="1"/>
      <c r="M262" s="3"/>
      <c r="N262" s="3"/>
      <c r="O262" s="3"/>
      <c r="P262" s="3"/>
      <c r="Q262" s="3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4"/>
      <c r="AG262" s="4"/>
      <c r="AJ262" s="11"/>
      <c r="AM262" s="11"/>
      <c r="AN262" s="6"/>
      <c r="AO262"/>
      <c r="AP262"/>
      <c r="AQ262"/>
      <c r="AR262"/>
      <c r="AS262"/>
      <c r="AT262"/>
    </row>
    <row r="263" spans="1:46" x14ac:dyDescent="0.25">
      <c r="A263" s="1"/>
      <c r="B263" s="1"/>
      <c r="C263" s="1"/>
      <c r="D263" s="1"/>
      <c r="E263" s="1"/>
      <c r="F263" s="1"/>
      <c r="G263" s="8"/>
      <c r="H263" s="1"/>
      <c r="I263" s="1"/>
      <c r="J263" s="1"/>
      <c r="K263" s="1"/>
      <c r="L263" s="1"/>
      <c r="M263" s="3"/>
      <c r="N263" s="3"/>
      <c r="O263" s="3"/>
      <c r="P263" s="3"/>
      <c r="Q263" s="3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4"/>
      <c r="AG263" s="4"/>
      <c r="AJ263" s="11"/>
      <c r="AM263" s="11"/>
      <c r="AN263" s="6"/>
      <c r="AO263"/>
      <c r="AP263"/>
      <c r="AQ263"/>
      <c r="AR263"/>
      <c r="AS263"/>
      <c r="AT263"/>
    </row>
    <row r="264" spans="1:46" x14ac:dyDescent="0.25">
      <c r="A264" s="1"/>
      <c r="B264" s="1"/>
      <c r="C264" s="1"/>
      <c r="D264" s="1"/>
      <c r="E264" s="1"/>
      <c r="F264" s="1"/>
      <c r="G264" s="8"/>
      <c r="H264" s="1"/>
      <c r="I264" s="1"/>
      <c r="J264" s="1"/>
      <c r="K264" s="1"/>
      <c r="L264" s="1"/>
      <c r="M264" s="3"/>
      <c r="N264" s="3"/>
      <c r="O264" s="3"/>
      <c r="P264" s="3"/>
      <c r="Q264" s="3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4"/>
      <c r="AG264" s="4"/>
      <c r="AJ264" s="11"/>
      <c r="AM264" s="11"/>
      <c r="AN264" s="6"/>
      <c r="AO264"/>
      <c r="AP264"/>
      <c r="AQ264"/>
      <c r="AR264"/>
      <c r="AS264"/>
      <c r="AT264"/>
    </row>
    <row r="265" spans="1:46" x14ac:dyDescent="0.25">
      <c r="A265" s="1"/>
      <c r="B265" s="1"/>
      <c r="C265" s="1"/>
      <c r="D265" s="1"/>
      <c r="E265" s="1"/>
      <c r="F265" s="1"/>
      <c r="G265" s="8"/>
      <c r="H265" s="1"/>
      <c r="I265" s="1"/>
      <c r="J265" s="1"/>
      <c r="K265" s="1"/>
      <c r="L265" s="1"/>
      <c r="M265" s="3"/>
      <c r="N265" s="3"/>
      <c r="O265" s="3"/>
      <c r="P265" s="3"/>
      <c r="Q265" s="3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4"/>
      <c r="AG265" s="4"/>
      <c r="AJ265" s="11"/>
      <c r="AM265" s="11"/>
      <c r="AN265" s="6"/>
      <c r="AO265"/>
      <c r="AP265"/>
      <c r="AQ265"/>
      <c r="AR265"/>
      <c r="AS265"/>
      <c r="AT265"/>
    </row>
    <row r="266" spans="1:46" x14ac:dyDescent="0.25">
      <c r="A266" s="1"/>
      <c r="B266" s="1"/>
      <c r="C266" s="1"/>
      <c r="D266" s="1"/>
      <c r="E266" s="1"/>
      <c r="F266" s="1"/>
      <c r="G266" s="8"/>
      <c r="H266" s="1"/>
      <c r="I266" s="1"/>
      <c r="J266" s="1"/>
      <c r="K266" s="1"/>
      <c r="L266" s="1"/>
      <c r="M266" s="3"/>
      <c r="N266" s="3"/>
      <c r="O266" s="3"/>
      <c r="P266" s="3"/>
      <c r="Q266" s="3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4"/>
      <c r="AG266" s="4"/>
      <c r="AJ266" s="11"/>
      <c r="AM266" s="11"/>
      <c r="AN266" s="6"/>
      <c r="AO266"/>
      <c r="AP266"/>
      <c r="AQ266"/>
      <c r="AR266"/>
      <c r="AS266"/>
      <c r="AT266"/>
    </row>
    <row r="267" spans="1:46" x14ac:dyDescent="0.25">
      <c r="A267" s="1"/>
      <c r="B267" s="1"/>
      <c r="C267" s="1"/>
      <c r="D267" s="1"/>
      <c r="E267" s="1"/>
      <c r="F267" s="1"/>
      <c r="G267" s="8"/>
      <c r="H267" s="1"/>
      <c r="I267" s="1"/>
      <c r="J267" s="1"/>
      <c r="K267" s="1"/>
      <c r="L267" s="1"/>
      <c r="M267" s="3"/>
      <c r="N267" s="3"/>
      <c r="O267" s="3"/>
      <c r="P267" s="3"/>
      <c r="Q267" s="3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4"/>
      <c r="AG267" s="4"/>
      <c r="AJ267" s="11"/>
      <c r="AM267" s="11"/>
      <c r="AN267" s="6"/>
      <c r="AO267"/>
      <c r="AP267"/>
      <c r="AQ267"/>
      <c r="AR267"/>
      <c r="AS267"/>
      <c r="AT267"/>
    </row>
    <row r="268" spans="1:46" x14ac:dyDescent="0.25">
      <c r="A268" s="1"/>
      <c r="B268" s="1"/>
      <c r="C268" s="1"/>
      <c r="D268" s="1"/>
      <c r="E268" s="1"/>
      <c r="F268" s="1"/>
      <c r="G268" s="8"/>
      <c r="H268" s="1"/>
      <c r="I268" s="1"/>
      <c r="J268" s="1"/>
      <c r="K268" s="1"/>
      <c r="L268" s="1"/>
      <c r="M268" s="3"/>
      <c r="N268" s="3"/>
      <c r="O268" s="3"/>
      <c r="P268" s="3"/>
      <c r="Q268" s="3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4"/>
      <c r="AG268" s="4"/>
      <c r="AH268" s="4"/>
      <c r="AI268" s="4"/>
      <c r="AJ268" s="11"/>
      <c r="AK268" s="11"/>
      <c r="AL268" s="10"/>
      <c r="AM268" s="11"/>
      <c r="AN268" s="6"/>
      <c r="AO268"/>
      <c r="AP268"/>
      <c r="AQ268"/>
      <c r="AR268"/>
      <c r="AS268"/>
      <c r="AT268"/>
    </row>
    <row r="269" spans="1:46" x14ac:dyDescent="0.25">
      <c r="A269" s="1"/>
      <c r="B269" s="1"/>
      <c r="C269" s="1"/>
      <c r="D269" s="1"/>
      <c r="E269" s="1"/>
      <c r="F269" s="1"/>
      <c r="G269" s="8"/>
      <c r="H269" s="1"/>
      <c r="I269" s="1"/>
      <c r="J269" s="1"/>
      <c r="K269" s="1"/>
      <c r="L269" s="1"/>
      <c r="M269" s="3"/>
      <c r="N269" s="3"/>
      <c r="O269" s="3"/>
      <c r="P269" s="3"/>
      <c r="Q269" s="3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4"/>
      <c r="AG269" s="4"/>
      <c r="AH269" s="4"/>
      <c r="AI269" s="4"/>
      <c r="AJ269" s="11"/>
      <c r="AK269" s="11"/>
      <c r="AL269" s="10"/>
      <c r="AM269" s="11"/>
      <c r="AN269" s="6"/>
      <c r="AO269"/>
      <c r="AP269"/>
      <c r="AQ269"/>
      <c r="AR269"/>
      <c r="AS269"/>
      <c r="AT269"/>
    </row>
    <row r="270" spans="1:46" x14ac:dyDescent="0.25">
      <c r="A270" s="1"/>
      <c r="B270" s="1"/>
      <c r="C270" s="1"/>
      <c r="D270" s="1"/>
      <c r="E270" s="1"/>
      <c r="F270" s="1"/>
      <c r="G270" s="8"/>
      <c r="H270" s="1"/>
      <c r="I270" s="1"/>
      <c r="J270" s="1"/>
      <c r="K270" s="1"/>
      <c r="L270" s="1"/>
      <c r="M270" s="3"/>
      <c r="N270" s="3"/>
      <c r="O270" s="3"/>
      <c r="P270" s="3"/>
      <c r="Q270" s="3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4"/>
      <c r="AG270" s="4"/>
      <c r="AJ270" s="11"/>
      <c r="AM270" s="11"/>
      <c r="AN270" s="6"/>
      <c r="AO270"/>
      <c r="AP270"/>
      <c r="AQ270"/>
      <c r="AR270"/>
      <c r="AS270"/>
      <c r="AT270"/>
    </row>
    <row r="271" spans="1:46" x14ac:dyDescent="0.25">
      <c r="A271" s="1"/>
      <c r="B271" s="1"/>
      <c r="C271" s="1"/>
      <c r="D271" s="1"/>
      <c r="E271" s="1"/>
      <c r="F271" s="1"/>
      <c r="G271" s="8"/>
      <c r="H271" s="1"/>
      <c r="I271" s="1"/>
      <c r="J271" s="1"/>
      <c r="K271" s="1"/>
      <c r="L271" s="1"/>
      <c r="M271" s="3"/>
      <c r="N271" s="3"/>
      <c r="O271" s="3"/>
      <c r="P271" s="3"/>
      <c r="Q271" s="3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4"/>
      <c r="AG271" s="4"/>
      <c r="AJ271" s="11"/>
      <c r="AM271" s="11"/>
      <c r="AN271" s="6"/>
      <c r="AO271"/>
      <c r="AP271"/>
      <c r="AQ271"/>
      <c r="AR271"/>
      <c r="AS271"/>
      <c r="AT271"/>
    </row>
    <row r="272" spans="1:46" x14ac:dyDescent="0.25">
      <c r="A272" s="1"/>
      <c r="B272" s="1"/>
      <c r="C272" s="1"/>
      <c r="D272" s="1"/>
      <c r="E272" s="1"/>
      <c r="F272" s="1"/>
      <c r="G272" s="8"/>
      <c r="H272" s="1"/>
      <c r="I272" s="1"/>
      <c r="J272" s="1"/>
      <c r="K272" s="1"/>
      <c r="L272" s="1"/>
      <c r="M272" s="3"/>
      <c r="N272" s="3"/>
      <c r="O272" s="3"/>
      <c r="P272" s="3"/>
      <c r="Q272" s="3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4"/>
      <c r="AG272" s="4"/>
      <c r="AJ272" s="11"/>
      <c r="AM272" s="11"/>
      <c r="AN272" s="6"/>
      <c r="AO272"/>
      <c r="AP272"/>
      <c r="AQ272"/>
      <c r="AR272"/>
      <c r="AS272"/>
      <c r="AT272"/>
    </row>
    <row r="273" spans="1:46" x14ac:dyDescent="0.25">
      <c r="A273" s="1"/>
      <c r="B273" s="1"/>
      <c r="C273" s="1"/>
      <c r="D273" s="1"/>
      <c r="E273" s="1"/>
      <c r="F273" s="1"/>
      <c r="G273" s="8"/>
      <c r="H273" s="1"/>
      <c r="I273" s="1"/>
      <c r="J273" s="1"/>
      <c r="K273" s="1"/>
      <c r="L273" s="1"/>
      <c r="M273" s="3"/>
      <c r="N273" s="3"/>
      <c r="O273" s="3"/>
      <c r="P273" s="3"/>
      <c r="Q273" s="3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4"/>
      <c r="AG273" s="4"/>
      <c r="AJ273" s="11"/>
      <c r="AM273" s="11"/>
      <c r="AN273" s="6"/>
      <c r="AO273"/>
      <c r="AP273"/>
      <c r="AQ273"/>
      <c r="AR273"/>
      <c r="AS273"/>
      <c r="AT273"/>
    </row>
    <row r="274" spans="1:46" x14ac:dyDescent="0.25">
      <c r="A274" s="1"/>
      <c r="B274" s="1"/>
      <c r="C274" s="1"/>
      <c r="D274" s="1"/>
      <c r="E274" s="1"/>
      <c r="F274" s="1"/>
      <c r="G274" s="8"/>
      <c r="H274" s="1"/>
      <c r="I274" s="1"/>
      <c r="J274" s="1"/>
      <c r="K274" s="1"/>
      <c r="L274" s="1"/>
      <c r="M274" s="3"/>
      <c r="N274" s="3"/>
      <c r="O274" s="3"/>
      <c r="P274" s="3"/>
      <c r="Q274" s="3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4"/>
      <c r="AG274" s="4"/>
      <c r="AJ274" s="11"/>
      <c r="AM274" s="11"/>
      <c r="AN274" s="6"/>
      <c r="AO274"/>
      <c r="AP274"/>
      <c r="AQ274"/>
      <c r="AR274"/>
      <c r="AS274"/>
      <c r="AT274"/>
    </row>
    <row r="275" spans="1:46" x14ac:dyDescent="0.25">
      <c r="A275" s="1"/>
      <c r="B275" s="1"/>
      <c r="C275" s="1"/>
      <c r="D275" s="1"/>
      <c r="E275" s="1"/>
      <c r="F275" s="1"/>
      <c r="G275" s="8"/>
      <c r="H275" s="1"/>
      <c r="I275" s="1"/>
      <c r="J275" s="1"/>
      <c r="K275" s="1"/>
      <c r="L275" s="1"/>
      <c r="M275" s="3"/>
      <c r="N275" s="3"/>
      <c r="O275" s="3"/>
      <c r="P275" s="3"/>
      <c r="Q275" s="3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4"/>
      <c r="AG275" s="4"/>
      <c r="AJ275" s="11"/>
      <c r="AM275" s="11"/>
      <c r="AN275" s="6"/>
      <c r="AO275"/>
      <c r="AP275"/>
      <c r="AQ275"/>
      <c r="AR275"/>
      <c r="AS275"/>
      <c r="AT275"/>
    </row>
    <row r="276" spans="1:46" x14ac:dyDescent="0.25">
      <c r="A276" s="1"/>
      <c r="B276" s="1"/>
      <c r="C276" s="1"/>
      <c r="D276" s="1"/>
      <c r="E276" s="1"/>
      <c r="F276" s="1"/>
      <c r="G276" s="8"/>
      <c r="H276" s="1"/>
      <c r="I276" s="1"/>
      <c r="J276" s="1"/>
      <c r="K276" s="1"/>
      <c r="L276" s="1"/>
      <c r="M276" s="3"/>
      <c r="N276" s="3"/>
      <c r="O276" s="3"/>
      <c r="P276" s="3"/>
      <c r="Q276" s="3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4"/>
      <c r="AG276" s="4"/>
      <c r="AJ276" s="11"/>
      <c r="AM276" s="11"/>
      <c r="AN276" s="6"/>
      <c r="AO276"/>
      <c r="AP276"/>
      <c r="AQ276"/>
      <c r="AR276"/>
      <c r="AS276"/>
      <c r="AT276"/>
    </row>
    <row r="277" spans="1:46" x14ac:dyDescent="0.25">
      <c r="A277" s="1"/>
      <c r="B277" s="1"/>
      <c r="C277" s="1"/>
      <c r="D277" s="1"/>
      <c r="E277" s="1"/>
      <c r="F277" s="1"/>
      <c r="G277" s="8"/>
      <c r="H277" s="1"/>
      <c r="I277" s="1"/>
      <c r="J277" s="1"/>
      <c r="K277" s="1"/>
      <c r="L277" s="1"/>
      <c r="M277" s="3"/>
      <c r="N277" s="3"/>
      <c r="O277" s="3"/>
      <c r="P277" s="3"/>
      <c r="Q277" s="3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4"/>
      <c r="AG277" s="4"/>
      <c r="AJ277" s="11"/>
      <c r="AM277" s="11"/>
      <c r="AN277" s="6"/>
      <c r="AO277"/>
      <c r="AP277"/>
      <c r="AQ277"/>
      <c r="AR277"/>
      <c r="AS277"/>
      <c r="AT277"/>
    </row>
    <row r="278" spans="1:46" x14ac:dyDescent="0.25">
      <c r="A278" s="1"/>
      <c r="B278" s="1"/>
      <c r="C278" s="1"/>
      <c r="D278" s="1"/>
      <c r="E278" s="1"/>
      <c r="F278" s="1"/>
      <c r="G278" s="8"/>
      <c r="H278" s="1"/>
      <c r="I278" s="1"/>
      <c r="J278" s="1"/>
      <c r="K278" s="1"/>
      <c r="L278" s="1"/>
      <c r="M278" s="3"/>
      <c r="N278" s="3"/>
      <c r="O278" s="3"/>
      <c r="P278" s="3"/>
      <c r="Q278" s="3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4"/>
      <c r="AG278" s="4"/>
      <c r="AJ278" s="11"/>
      <c r="AM278" s="11"/>
      <c r="AN278" s="6"/>
      <c r="AO278"/>
      <c r="AP278"/>
      <c r="AQ278"/>
      <c r="AR278"/>
      <c r="AS278"/>
      <c r="AT278"/>
    </row>
    <row r="279" spans="1:46" x14ac:dyDescent="0.25">
      <c r="A279" s="1"/>
      <c r="B279" s="1"/>
      <c r="C279" s="1"/>
      <c r="D279" s="1"/>
      <c r="E279" s="1"/>
      <c r="F279" s="1"/>
      <c r="G279" s="8"/>
      <c r="H279" s="1"/>
      <c r="I279" s="1"/>
      <c r="J279" s="1"/>
      <c r="K279" s="1"/>
      <c r="L279" s="1"/>
      <c r="M279" s="3"/>
      <c r="N279" s="3"/>
      <c r="O279" s="3"/>
      <c r="P279" s="3"/>
      <c r="Q279" s="3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4"/>
      <c r="AG279" s="4"/>
      <c r="AJ279" s="11"/>
      <c r="AM279" s="11"/>
      <c r="AN279" s="6"/>
      <c r="AO279"/>
      <c r="AP279"/>
      <c r="AQ279"/>
      <c r="AR279"/>
      <c r="AS279"/>
      <c r="AT279"/>
    </row>
    <row r="280" spans="1:46" x14ac:dyDescent="0.25">
      <c r="A280" s="1"/>
      <c r="B280" s="1"/>
      <c r="C280" s="1"/>
      <c r="D280" s="1"/>
      <c r="E280" s="1"/>
      <c r="F280" s="1"/>
      <c r="G280" s="8"/>
      <c r="H280" s="1"/>
      <c r="I280" s="1"/>
      <c r="J280" s="1"/>
      <c r="K280" s="1"/>
      <c r="L280" s="1"/>
      <c r="M280" s="3"/>
      <c r="N280" s="3"/>
      <c r="O280" s="3"/>
      <c r="P280" s="3"/>
      <c r="Q280" s="3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4"/>
      <c r="AG280" s="4"/>
      <c r="AJ280" s="11"/>
      <c r="AM280" s="11"/>
      <c r="AN280" s="6"/>
      <c r="AO280"/>
      <c r="AP280"/>
      <c r="AQ280"/>
      <c r="AR280"/>
      <c r="AS280"/>
      <c r="AT280"/>
    </row>
    <row r="281" spans="1:46" x14ac:dyDescent="0.25">
      <c r="A281" s="1"/>
      <c r="B281" s="1"/>
      <c r="C281" s="1"/>
      <c r="D281" s="1"/>
      <c r="E281" s="1"/>
      <c r="F281" s="1"/>
      <c r="G281" s="8"/>
      <c r="H281" s="1"/>
      <c r="I281" s="1"/>
      <c r="J281" s="1"/>
      <c r="K281" s="1"/>
      <c r="L281" s="1"/>
      <c r="M281" s="3"/>
      <c r="N281" s="3"/>
      <c r="O281" s="3"/>
      <c r="P281" s="3"/>
      <c r="Q281" s="3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4"/>
      <c r="AG281" s="4"/>
      <c r="AJ281" s="11"/>
      <c r="AM281" s="11"/>
      <c r="AN281" s="6"/>
      <c r="AO281"/>
      <c r="AP281"/>
      <c r="AQ281"/>
      <c r="AR281"/>
      <c r="AS281"/>
      <c r="AT281"/>
    </row>
    <row r="282" spans="1:46" x14ac:dyDescent="0.25">
      <c r="A282" s="1"/>
      <c r="B282" s="1"/>
      <c r="C282" s="1"/>
      <c r="D282" s="1"/>
      <c r="E282" s="1"/>
      <c r="F282" s="1"/>
      <c r="G282" s="8"/>
      <c r="H282" s="1"/>
      <c r="I282" s="1"/>
      <c r="J282" s="1"/>
      <c r="K282" s="1"/>
      <c r="L282" s="1"/>
      <c r="M282" s="3"/>
      <c r="N282" s="3"/>
      <c r="O282" s="3"/>
      <c r="P282" s="3"/>
      <c r="Q282" s="3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4"/>
      <c r="AG282" s="4"/>
      <c r="AJ282" s="11"/>
      <c r="AM282" s="11"/>
      <c r="AN282" s="6"/>
      <c r="AO282"/>
      <c r="AP282"/>
      <c r="AQ282"/>
      <c r="AR282"/>
      <c r="AS282"/>
      <c r="AT282"/>
    </row>
    <row r="283" spans="1:46" x14ac:dyDescent="0.25">
      <c r="A283" s="1"/>
      <c r="B283" s="1"/>
      <c r="C283" s="1"/>
      <c r="D283" s="1"/>
      <c r="E283" s="1"/>
      <c r="F283" s="1"/>
      <c r="G283" s="8"/>
      <c r="H283" s="1"/>
      <c r="I283" s="1"/>
      <c r="J283" s="1"/>
      <c r="K283" s="1"/>
      <c r="L283" s="1"/>
      <c r="M283" s="3"/>
      <c r="N283" s="3"/>
      <c r="O283" s="3"/>
      <c r="P283" s="3"/>
      <c r="Q283" s="3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4"/>
      <c r="AG283" s="4"/>
      <c r="AJ283" s="11"/>
      <c r="AM283" s="11"/>
      <c r="AN283" s="6"/>
      <c r="AO283"/>
      <c r="AP283"/>
      <c r="AQ283"/>
      <c r="AR283"/>
      <c r="AS283"/>
      <c r="AT283"/>
    </row>
    <row r="284" spans="1:46" x14ac:dyDescent="0.25">
      <c r="A284" s="1"/>
      <c r="B284" s="1"/>
      <c r="C284" s="1"/>
      <c r="D284" s="1"/>
      <c r="E284" s="1"/>
      <c r="F284" s="1"/>
      <c r="G284" s="8"/>
      <c r="H284" s="1"/>
      <c r="I284" s="1"/>
      <c r="J284" s="1"/>
      <c r="K284" s="1"/>
      <c r="L284" s="1"/>
      <c r="M284" s="3"/>
      <c r="N284" s="3"/>
      <c r="O284" s="3"/>
      <c r="P284" s="3"/>
      <c r="Q284" s="3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4"/>
      <c r="AG284" s="4"/>
      <c r="AJ284" s="11"/>
      <c r="AM284" s="11"/>
      <c r="AN284" s="6"/>
      <c r="AO284"/>
      <c r="AP284"/>
      <c r="AQ284"/>
      <c r="AR284"/>
      <c r="AS284"/>
      <c r="AT284"/>
    </row>
    <row r="285" spans="1:46" x14ac:dyDescent="0.25">
      <c r="A285" s="1"/>
      <c r="B285" s="1"/>
      <c r="C285" s="1"/>
      <c r="D285" s="1"/>
      <c r="E285" s="1"/>
      <c r="F285" s="1"/>
      <c r="G285" s="8"/>
      <c r="H285" s="1"/>
      <c r="I285" s="1"/>
      <c r="J285" s="1"/>
      <c r="K285" s="1"/>
      <c r="L285" s="1"/>
      <c r="M285" s="3"/>
      <c r="N285" s="3"/>
      <c r="O285" s="3"/>
      <c r="P285" s="3"/>
      <c r="Q285" s="3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4"/>
      <c r="AG285" s="4"/>
      <c r="AJ285" s="11"/>
      <c r="AM285" s="11"/>
      <c r="AN285" s="6"/>
      <c r="AO285"/>
      <c r="AP285"/>
      <c r="AQ285"/>
      <c r="AR285"/>
      <c r="AS285"/>
      <c r="AT285"/>
    </row>
    <row r="286" spans="1:46" x14ac:dyDescent="0.25">
      <c r="A286" s="1"/>
      <c r="B286" s="1"/>
      <c r="C286" s="1"/>
      <c r="D286" s="1"/>
      <c r="E286" s="1"/>
      <c r="F286" s="1"/>
      <c r="G286" s="8"/>
      <c r="H286" s="1"/>
      <c r="I286" s="1"/>
      <c r="J286" s="1"/>
      <c r="K286" s="1"/>
      <c r="L286" s="1"/>
      <c r="M286" s="3"/>
      <c r="N286" s="3"/>
      <c r="O286" s="3"/>
      <c r="P286" s="3"/>
      <c r="Q286" s="3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4"/>
      <c r="AG286" s="4"/>
      <c r="AJ286" s="11"/>
      <c r="AM286" s="11"/>
      <c r="AN286" s="6"/>
      <c r="AO286"/>
      <c r="AP286"/>
      <c r="AQ286"/>
      <c r="AR286"/>
      <c r="AS286"/>
      <c r="AT286"/>
    </row>
    <row r="287" spans="1:46" x14ac:dyDescent="0.25">
      <c r="A287" s="1"/>
      <c r="B287" s="1"/>
      <c r="C287" s="1"/>
      <c r="D287" s="1"/>
      <c r="E287" s="1"/>
      <c r="F287" s="1"/>
      <c r="G287" s="8"/>
      <c r="H287" s="1"/>
      <c r="I287" s="1"/>
      <c r="J287" s="1"/>
      <c r="K287" s="1"/>
      <c r="L287" s="1"/>
      <c r="M287" s="3"/>
      <c r="N287" s="3"/>
      <c r="O287" s="3"/>
      <c r="P287" s="3"/>
      <c r="Q287" s="3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4"/>
      <c r="AG287" s="4"/>
      <c r="AJ287" s="11"/>
      <c r="AM287" s="11"/>
      <c r="AN287" s="6"/>
      <c r="AO287"/>
      <c r="AP287"/>
      <c r="AQ287"/>
      <c r="AR287"/>
      <c r="AS287"/>
      <c r="AT287"/>
    </row>
    <row r="288" spans="1:46" x14ac:dyDescent="0.25">
      <c r="A288" s="1"/>
      <c r="B288" s="1"/>
      <c r="C288" s="1"/>
      <c r="D288" s="1"/>
      <c r="E288" s="1"/>
      <c r="F288" s="1"/>
      <c r="G288" s="8"/>
      <c r="H288" s="1"/>
      <c r="I288" s="1"/>
      <c r="J288" s="1"/>
      <c r="K288" s="1"/>
      <c r="L288" s="1"/>
      <c r="M288" s="3"/>
      <c r="N288" s="3"/>
      <c r="O288" s="3"/>
      <c r="P288" s="3"/>
      <c r="Q288" s="3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4"/>
      <c r="AG288" s="4"/>
      <c r="AJ288" s="11"/>
      <c r="AM288" s="11"/>
      <c r="AN288" s="6"/>
      <c r="AO288"/>
      <c r="AP288"/>
      <c r="AQ288"/>
      <c r="AR288"/>
      <c r="AS288"/>
      <c r="AT288"/>
    </row>
    <row r="289" spans="1:46" x14ac:dyDescent="0.25">
      <c r="A289" s="1"/>
      <c r="B289" s="1"/>
      <c r="C289" s="1"/>
      <c r="D289" s="1"/>
      <c r="E289" s="1"/>
      <c r="F289" s="1"/>
      <c r="G289" s="8"/>
      <c r="H289" s="1"/>
      <c r="I289" s="1"/>
      <c r="J289" s="1"/>
      <c r="K289" s="1"/>
      <c r="L289" s="1"/>
      <c r="M289" s="3"/>
      <c r="N289" s="3"/>
      <c r="O289" s="3"/>
      <c r="P289" s="3"/>
      <c r="Q289" s="3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4"/>
      <c r="AG289" s="4"/>
      <c r="AJ289" s="11"/>
      <c r="AM289" s="11"/>
      <c r="AN289" s="6"/>
      <c r="AO289"/>
      <c r="AP289"/>
      <c r="AQ289"/>
      <c r="AR289"/>
      <c r="AS289"/>
      <c r="AT289"/>
    </row>
    <row r="290" spans="1:46" x14ac:dyDescent="0.25">
      <c r="A290" s="1"/>
      <c r="B290" s="1"/>
      <c r="C290" s="1"/>
      <c r="D290" s="1"/>
      <c r="E290" s="1"/>
      <c r="F290" s="1"/>
      <c r="G290" s="8"/>
      <c r="H290" s="1"/>
      <c r="I290" s="1"/>
      <c r="J290" s="1"/>
      <c r="K290" s="1"/>
      <c r="L290" s="1"/>
      <c r="M290" s="3"/>
      <c r="N290" s="3"/>
      <c r="O290" s="3"/>
      <c r="P290" s="3"/>
      <c r="Q290" s="3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4"/>
      <c r="AG290" s="4"/>
      <c r="AJ290" s="11"/>
      <c r="AM290" s="11"/>
      <c r="AN290" s="6"/>
      <c r="AO290"/>
      <c r="AP290"/>
      <c r="AQ290"/>
      <c r="AR290"/>
      <c r="AS290"/>
      <c r="AT290"/>
    </row>
    <row r="291" spans="1:46" x14ac:dyDescent="0.25">
      <c r="A291" s="1"/>
      <c r="B291" s="1"/>
      <c r="C291" s="1"/>
      <c r="D291" s="1"/>
      <c r="E291" s="1"/>
      <c r="F291" s="1"/>
      <c r="G291" s="8"/>
      <c r="H291" s="1"/>
      <c r="I291" s="1"/>
      <c r="J291" s="1"/>
      <c r="K291" s="1"/>
      <c r="L291" s="1"/>
      <c r="M291" s="3"/>
      <c r="N291" s="3"/>
      <c r="O291" s="3"/>
      <c r="P291" s="3"/>
      <c r="Q291" s="3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4"/>
      <c r="AG291" s="4"/>
      <c r="AJ291" s="11"/>
      <c r="AM291" s="11"/>
      <c r="AN291" s="6"/>
      <c r="AO291"/>
      <c r="AP291"/>
      <c r="AQ291"/>
      <c r="AR291"/>
      <c r="AS291"/>
      <c r="AT291"/>
    </row>
    <row r="292" spans="1:46" x14ac:dyDescent="0.25">
      <c r="A292" s="1"/>
      <c r="B292" s="1"/>
      <c r="C292" s="1"/>
      <c r="D292" s="1"/>
      <c r="E292" s="1"/>
      <c r="F292" s="1"/>
      <c r="G292" s="8"/>
      <c r="H292" s="1"/>
      <c r="I292" s="1"/>
      <c r="J292" s="1"/>
      <c r="K292" s="1"/>
      <c r="L292" s="1"/>
      <c r="M292" s="3"/>
      <c r="N292" s="3"/>
      <c r="O292" s="3"/>
      <c r="P292" s="3"/>
      <c r="Q292" s="3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4"/>
      <c r="AG292" s="4"/>
      <c r="AJ292" s="11"/>
      <c r="AM292" s="11"/>
      <c r="AN292" s="6"/>
      <c r="AO292"/>
      <c r="AP292"/>
      <c r="AQ292"/>
      <c r="AR292"/>
      <c r="AS292"/>
      <c r="AT292"/>
    </row>
    <row r="293" spans="1:46" x14ac:dyDescent="0.25">
      <c r="A293" s="1"/>
      <c r="B293" s="1"/>
      <c r="C293" s="1"/>
      <c r="D293" s="1"/>
      <c r="E293" s="1"/>
      <c r="F293" s="1"/>
      <c r="G293" s="8"/>
      <c r="H293" s="1"/>
      <c r="I293" s="1"/>
      <c r="J293" s="1"/>
      <c r="K293" s="1"/>
      <c r="L293" s="1"/>
      <c r="M293" s="3"/>
      <c r="N293" s="3"/>
      <c r="O293" s="3"/>
      <c r="P293" s="3"/>
      <c r="Q293" s="3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4"/>
      <c r="AG293" s="4"/>
      <c r="AJ293" s="11"/>
      <c r="AM293" s="11"/>
      <c r="AN293" s="6"/>
      <c r="AO293"/>
      <c r="AP293"/>
      <c r="AQ293"/>
      <c r="AR293"/>
      <c r="AS293"/>
      <c r="AT293"/>
    </row>
    <row r="294" spans="1:46" x14ac:dyDescent="0.25">
      <c r="A294" s="1"/>
      <c r="B294" s="1"/>
      <c r="C294" s="1"/>
      <c r="D294" s="1"/>
      <c r="E294" s="1"/>
      <c r="F294" s="1"/>
      <c r="G294" s="8"/>
      <c r="H294" s="1"/>
      <c r="I294" s="1"/>
      <c r="J294" s="1"/>
      <c r="K294" s="1"/>
      <c r="L294" s="1"/>
      <c r="M294" s="3"/>
      <c r="N294" s="3"/>
      <c r="O294" s="3"/>
      <c r="P294" s="3"/>
      <c r="Q294" s="3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4"/>
      <c r="AG294" s="4"/>
      <c r="AJ294" s="11"/>
      <c r="AM294" s="11"/>
      <c r="AN294" s="6"/>
      <c r="AO294"/>
      <c r="AP294"/>
      <c r="AQ294"/>
      <c r="AR294"/>
      <c r="AS294"/>
      <c r="AT294"/>
    </row>
    <row r="295" spans="1:46" x14ac:dyDescent="0.25">
      <c r="A295" s="1"/>
      <c r="B295" s="1"/>
      <c r="C295" s="1"/>
      <c r="D295" s="1"/>
      <c r="E295" s="1"/>
      <c r="F295" s="1"/>
      <c r="G295" s="8"/>
      <c r="H295" s="1"/>
      <c r="I295" s="1"/>
      <c r="J295" s="1"/>
      <c r="K295" s="1"/>
      <c r="L295" s="1"/>
      <c r="M295" s="3"/>
      <c r="N295" s="3"/>
      <c r="O295" s="3"/>
      <c r="P295" s="3"/>
      <c r="Q295" s="3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4"/>
      <c r="AG295" s="4"/>
      <c r="AJ295" s="11"/>
      <c r="AM295" s="11"/>
      <c r="AN295" s="6"/>
      <c r="AO295"/>
      <c r="AP295"/>
      <c r="AQ295"/>
      <c r="AR295"/>
      <c r="AS295"/>
      <c r="AT295"/>
    </row>
    <row r="296" spans="1:46" x14ac:dyDescent="0.25">
      <c r="A296" s="1"/>
      <c r="B296" s="1"/>
      <c r="C296" s="1"/>
      <c r="D296" s="1"/>
      <c r="E296" s="1"/>
      <c r="F296" s="1"/>
      <c r="G296" s="8"/>
      <c r="H296" s="1"/>
      <c r="I296" s="1"/>
      <c r="J296" s="1"/>
      <c r="K296" s="1"/>
      <c r="L296" s="1"/>
      <c r="M296" s="3"/>
      <c r="N296" s="3"/>
      <c r="O296" s="3"/>
      <c r="P296" s="3"/>
      <c r="Q296" s="3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4"/>
      <c r="AG296" s="4"/>
      <c r="AJ296" s="11"/>
      <c r="AM296" s="11"/>
      <c r="AN296" s="6"/>
      <c r="AO296"/>
      <c r="AP296"/>
      <c r="AQ296"/>
      <c r="AR296"/>
      <c r="AS296"/>
      <c r="AT296"/>
    </row>
    <row r="297" spans="1:46" x14ac:dyDescent="0.25">
      <c r="A297" s="1"/>
      <c r="B297" s="1"/>
      <c r="C297" s="1"/>
      <c r="D297" s="1"/>
      <c r="E297" s="1"/>
      <c r="F297" s="1"/>
      <c r="G297" s="8"/>
      <c r="H297" s="1"/>
      <c r="I297" s="1"/>
      <c r="J297" s="1"/>
      <c r="K297" s="1"/>
      <c r="L297" s="1"/>
      <c r="M297" s="3"/>
      <c r="N297" s="3"/>
      <c r="O297" s="3"/>
      <c r="P297" s="3"/>
      <c r="Q297" s="3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4"/>
      <c r="AG297" s="4"/>
      <c r="AJ297" s="11"/>
      <c r="AM297" s="11"/>
      <c r="AN297" s="6"/>
      <c r="AO297"/>
      <c r="AP297"/>
      <c r="AQ297"/>
      <c r="AR297"/>
      <c r="AS297"/>
      <c r="AT297"/>
    </row>
    <row r="298" spans="1:46" x14ac:dyDescent="0.25">
      <c r="A298" s="1"/>
      <c r="B298" s="1"/>
      <c r="C298" s="1"/>
      <c r="D298" s="1"/>
      <c r="E298" s="1"/>
      <c r="F298" s="1"/>
      <c r="G298" s="8"/>
      <c r="H298" s="1"/>
      <c r="I298" s="1"/>
      <c r="J298" s="1"/>
      <c r="K298" s="1"/>
      <c r="L298" s="1"/>
      <c r="M298" s="3"/>
      <c r="N298" s="3"/>
      <c r="O298" s="3"/>
      <c r="P298" s="3"/>
      <c r="Q298" s="3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4"/>
      <c r="AG298" s="4"/>
      <c r="AJ298" s="11"/>
      <c r="AM298" s="11"/>
      <c r="AN298" s="6"/>
      <c r="AO298"/>
      <c r="AP298"/>
      <c r="AQ298"/>
      <c r="AR298"/>
      <c r="AS298"/>
      <c r="AT298"/>
    </row>
    <row r="299" spans="1:46" x14ac:dyDescent="0.25">
      <c r="A299" s="1"/>
      <c r="B299" s="1"/>
      <c r="C299" s="1"/>
      <c r="D299" s="1"/>
      <c r="E299" s="1"/>
      <c r="F299" s="1"/>
      <c r="G299" s="8"/>
      <c r="H299" s="1"/>
      <c r="I299" s="1"/>
      <c r="J299" s="1"/>
      <c r="K299" s="1"/>
      <c r="L299" s="1"/>
      <c r="M299" s="3"/>
      <c r="N299" s="3"/>
      <c r="O299" s="3"/>
      <c r="P299" s="3"/>
      <c r="Q299" s="3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4"/>
      <c r="AG299" s="4"/>
      <c r="AH299" s="4"/>
      <c r="AI299" s="4"/>
      <c r="AJ299" s="11"/>
      <c r="AK299" s="11"/>
      <c r="AL299" s="10"/>
      <c r="AM299" s="11"/>
      <c r="AN299" s="6"/>
      <c r="AO299"/>
      <c r="AP299"/>
      <c r="AQ299"/>
      <c r="AR299"/>
      <c r="AS299"/>
      <c r="AT299"/>
    </row>
    <row r="300" spans="1:46" x14ac:dyDescent="0.25">
      <c r="A300" s="1"/>
      <c r="B300" s="1"/>
      <c r="C300" s="1"/>
      <c r="D300" s="1"/>
      <c r="E300" s="1"/>
      <c r="F300" s="1"/>
      <c r="G300" s="8"/>
      <c r="H300" s="1"/>
      <c r="I300" s="1"/>
      <c r="J300" s="1"/>
      <c r="K300" s="1"/>
      <c r="L300" s="1"/>
      <c r="M300" s="3"/>
      <c r="N300" s="3"/>
      <c r="O300" s="3"/>
      <c r="P300" s="3"/>
      <c r="Q300" s="3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4"/>
      <c r="AG300" s="4"/>
      <c r="AH300" s="4"/>
      <c r="AI300" s="4"/>
      <c r="AJ300" s="11"/>
      <c r="AK300" s="11"/>
      <c r="AL300" s="10"/>
      <c r="AM300" s="11"/>
      <c r="AN300" s="6"/>
      <c r="AO300"/>
      <c r="AP300"/>
      <c r="AQ300"/>
      <c r="AR300"/>
      <c r="AS300"/>
      <c r="AT300"/>
    </row>
    <row r="301" spans="1:46" x14ac:dyDescent="0.25">
      <c r="A301" s="1"/>
      <c r="B301" s="1"/>
      <c r="C301" s="1"/>
      <c r="D301" s="1"/>
      <c r="E301" s="1"/>
      <c r="F301" s="1"/>
      <c r="G301" s="8"/>
      <c r="H301" s="1"/>
      <c r="I301" s="1"/>
      <c r="J301" s="1"/>
      <c r="K301" s="1"/>
      <c r="L301" s="1"/>
      <c r="M301" s="3"/>
      <c r="N301" s="3"/>
      <c r="O301" s="3"/>
      <c r="P301" s="3"/>
      <c r="Q301" s="3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4"/>
      <c r="AG301" s="4"/>
      <c r="AJ301" s="11"/>
      <c r="AM301" s="11"/>
      <c r="AN301" s="6"/>
      <c r="AO301"/>
      <c r="AP301"/>
      <c r="AQ301"/>
      <c r="AR301"/>
      <c r="AS301"/>
      <c r="AT301"/>
    </row>
    <row r="302" spans="1:46" x14ac:dyDescent="0.25">
      <c r="A302" s="1"/>
      <c r="B302" s="1"/>
      <c r="C302" s="1"/>
      <c r="D302" s="1"/>
      <c r="E302" s="1"/>
      <c r="F302" s="1"/>
      <c r="G302" s="8"/>
      <c r="H302" s="1"/>
      <c r="I302" s="1"/>
      <c r="J302" s="1"/>
      <c r="K302" s="1"/>
      <c r="L302" s="1"/>
      <c r="M302" s="3"/>
      <c r="N302" s="3"/>
      <c r="O302" s="3"/>
      <c r="P302" s="3"/>
      <c r="Q302" s="3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4"/>
      <c r="AG302" s="4"/>
      <c r="AJ302" s="11"/>
      <c r="AM302" s="11"/>
      <c r="AN302" s="6"/>
      <c r="AO302"/>
      <c r="AP302"/>
      <c r="AQ302"/>
      <c r="AR302"/>
      <c r="AS302"/>
      <c r="AT302"/>
    </row>
    <row r="303" spans="1:46" x14ac:dyDescent="0.25">
      <c r="A303" s="1"/>
      <c r="B303" s="1"/>
      <c r="C303" s="1"/>
      <c r="D303" s="1"/>
      <c r="E303" s="1"/>
      <c r="F303" s="1"/>
      <c r="G303" s="8"/>
      <c r="H303" s="1"/>
      <c r="I303" s="1"/>
      <c r="J303" s="1"/>
      <c r="K303" s="1"/>
      <c r="L303" s="1"/>
      <c r="M303" s="3"/>
      <c r="N303" s="3"/>
      <c r="O303" s="3"/>
      <c r="P303" s="3"/>
      <c r="Q303" s="3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4"/>
      <c r="AG303" s="4"/>
      <c r="AJ303" s="11"/>
      <c r="AM303" s="11"/>
      <c r="AN303" s="6"/>
      <c r="AO303"/>
      <c r="AP303"/>
      <c r="AQ303"/>
      <c r="AR303"/>
      <c r="AS303"/>
      <c r="AT303"/>
    </row>
    <row r="304" spans="1:46" x14ac:dyDescent="0.25">
      <c r="A304" s="1"/>
      <c r="B304" s="1"/>
      <c r="C304" s="1"/>
      <c r="D304" s="1"/>
      <c r="E304" s="1"/>
      <c r="F304" s="1"/>
      <c r="G304" s="8"/>
      <c r="H304" s="1"/>
      <c r="I304" s="1"/>
      <c r="J304" s="1"/>
      <c r="K304" s="1"/>
      <c r="L304" s="1"/>
      <c r="M304" s="3"/>
      <c r="N304" s="3"/>
      <c r="O304" s="3"/>
      <c r="P304" s="3"/>
      <c r="Q304" s="3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4"/>
      <c r="AG304" s="4"/>
      <c r="AH304" s="4"/>
      <c r="AI304" s="4"/>
      <c r="AJ304" s="11"/>
      <c r="AK304" s="11"/>
      <c r="AL304" s="10"/>
      <c r="AM304" s="11"/>
      <c r="AN304" s="6"/>
      <c r="AO304"/>
      <c r="AP304"/>
      <c r="AQ304"/>
      <c r="AR304"/>
      <c r="AS304"/>
      <c r="AT304"/>
    </row>
    <row r="305" spans="1:46" x14ac:dyDescent="0.25">
      <c r="A305" s="1"/>
      <c r="B305" s="1"/>
      <c r="C305" s="1"/>
      <c r="D305" s="1"/>
      <c r="E305" s="1"/>
      <c r="F305" s="1"/>
      <c r="G305" s="8"/>
      <c r="H305" s="1"/>
      <c r="I305" s="1"/>
      <c r="J305" s="1"/>
      <c r="K305" s="1"/>
      <c r="L305" s="1"/>
      <c r="M305" s="3"/>
      <c r="N305" s="3"/>
      <c r="O305" s="3"/>
      <c r="P305" s="3"/>
      <c r="Q305" s="3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4"/>
      <c r="AG305" s="4"/>
      <c r="AH305" s="4"/>
      <c r="AI305" s="4"/>
      <c r="AJ305" s="11"/>
      <c r="AK305" s="11"/>
      <c r="AL305" s="10"/>
      <c r="AM305" s="11"/>
      <c r="AN305" s="6"/>
      <c r="AO305"/>
      <c r="AP305"/>
      <c r="AQ305"/>
      <c r="AR305"/>
      <c r="AS305"/>
      <c r="AT305"/>
    </row>
    <row r="306" spans="1:46" x14ac:dyDescent="0.25">
      <c r="A306" s="1"/>
      <c r="B306" s="1"/>
      <c r="C306" s="1"/>
      <c r="D306" s="1"/>
      <c r="E306" s="1"/>
      <c r="F306" s="1"/>
      <c r="G306" s="8"/>
      <c r="H306" s="1"/>
      <c r="I306" s="1"/>
      <c r="J306" s="1"/>
      <c r="K306" s="1"/>
      <c r="L306" s="1"/>
      <c r="M306" s="3"/>
      <c r="N306" s="3"/>
      <c r="O306" s="3"/>
      <c r="P306" s="3"/>
      <c r="Q306" s="3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4"/>
      <c r="AG306" s="4"/>
      <c r="AJ306" s="11"/>
      <c r="AM306" s="11"/>
      <c r="AN306" s="6"/>
      <c r="AO306"/>
      <c r="AP306"/>
      <c r="AQ306"/>
      <c r="AR306"/>
      <c r="AS306"/>
      <c r="AT306"/>
    </row>
    <row r="307" spans="1:46" x14ac:dyDescent="0.25">
      <c r="A307" s="1"/>
      <c r="B307" s="1"/>
      <c r="C307" s="1"/>
      <c r="D307" s="1"/>
      <c r="E307" s="1"/>
      <c r="F307" s="1"/>
      <c r="G307" s="8"/>
      <c r="H307" s="1"/>
      <c r="I307" s="1"/>
      <c r="J307" s="1"/>
      <c r="K307" s="1"/>
      <c r="L307" s="1"/>
      <c r="M307" s="3"/>
      <c r="N307" s="3"/>
      <c r="O307" s="3"/>
      <c r="P307" s="3"/>
      <c r="Q307" s="3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4"/>
      <c r="AG307" s="4"/>
      <c r="AJ307" s="11"/>
      <c r="AM307" s="11"/>
      <c r="AN307" s="6"/>
      <c r="AO307"/>
      <c r="AP307"/>
      <c r="AQ307"/>
      <c r="AR307"/>
      <c r="AS307"/>
      <c r="AT307"/>
    </row>
    <row r="308" spans="1:46" x14ac:dyDescent="0.25">
      <c r="A308" s="1"/>
      <c r="B308" s="1"/>
      <c r="C308" s="1"/>
      <c r="D308" s="1"/>
      <c r="E308" s="1"/>
      <c r="F308" s="1"/>
      <c r="G308" s="8"/>
      <c r="H308" s="1"/>
      <c r="I308" s="1"/>
      <c r="J308" s="1"/>
      <c r="K308" s="1"/>
      <c r="L308" s="1"/>
      <c r="M308" s="3"/>
      <c r="N308" s="3"/>
      <c r="O308" s="3"/>
      <c r="P308" s="3"/>
      <c r="Q308" s="3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4"/>
      <c r="AG308" s="4"/>
      <c r="AJ308" s="11"/>
      <c r="AM308" s="11"/>
      <c r="AN308" s="6"/>
      <c r="AO308"/>
      <c r="AP308"/>
      <c r="AQ308"/>
      <c r="AR308"/>
      <c r="AS308"/>
      <c r="AT308"/>
    </row>
    <row r="309" spans="1:46" x14ac:dyDescent="0.25">
      <c r="A309" s="1"/>
      <c r="B309" s="1"/>
      <c r="C309" s="1"/>
      <c r="D309" s="1"/>
      <c r="E309" s="1"/>
      <c r="F309" s="1"/>
      <c r="G309" s="8"/>
      <c r="H309" s="1"/>
      <c r="I309" s="1"/>
      <c r="J309" s="1"/>
      <c r="K309" s="1"/>
      <c r="L309" s="1"/>
      <c r="M309" s="3"/>
      <c r="N309" s="3"/>
      <c r="O309" s="3"/>
      <c r="P309" s="3"/>
      <c r="Q309" s="3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4"/>
      <c r="AG309" s="4"/>
      <c r="AJ309" s="11"/>
      <c r="AM309" s="11"/>
      <c r="AN309" s="6"/>
      <c r="AO309"/>
      <c r="AP309"/>
      <c r="AQ309"/>
      <c r="AR309"/>
      <c r="AS309"/>
      <c r="AT309"/>
    </row>
    <row r="310" spans="1:46" x14ac:dyDescent="0.25">
      <c r="A310" s="1"/>
      <c r="B310" s="1"/>
      <c r="C310" s="1"/>
      <c r="D310" s="1"/>
      <c r="E310" s="1"/>
      <c r="F310" s="1"/>
      <c r="G310" s="8"/>
      <c r="H310" s="1"/>
      <c r="I310" s="1"/>
      <c r="J310" s="1"/>
      <c r="K310" s="1"/>
      <c r="L310" s="1"/>
      <c r="M310" s="3"/>
      <c r="N310" s="3"/>
      <c r="O310" s="3"/>
      <c r="P310" s="3"/>
      <c r="Q310" s="3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4"/>
      <c r="AG310" s="4"/>
      <c r="AJ310" s="11"/>
      <c r="AM310" s="11"/>
      <c r="AN310" s="6"/>
      <c r="AO310"/>
      <c r="AP310"/>
      <c r="AQ310"/>
      <c r="AR310"/>
      <c r="AS310"/>
      <c r="AT310"/>
    </row>
    <row r="311" spans="1:46" x14ac:dyDescent="0.25">
      <c r="A311" s="1"/>
      <c r="B311" s="1"/>
      <c r="C311" s="1"/>
      <c r="D311" s="1"/>
      <c r="E311" s="1"/>
      <c r="F311" s="1"/>
      <c r="G311" s="8"/>
      <c r="H311" s="1"/>
      <c r="I311" s="1"/>
      <c r="J311" s="1"/>
      <c r="K311" s="1"/>
      <c r="L311" s="1"/>
      <c r="M311" s="3"/>
      <c r="N311" s="3"/>
      <c r="O311" s="3"/>
      <c r="P311" s="3"/>
      <c r="Q311" s="3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4"/>
      <c r="AG311" s="4"/>
      <c r="AH311" s="4"/>
      <c r="AI311" s="4"/>
      <c r="AJ311" s="11"/>
      <c r="AK311" s="11"/>
      <c r="AL311" s="10"/>
      <c r="AM311" s="11"/>
      <c r="AN311" s="6"/>
      <c r="AO311"/>
      <c r="AP311"/>
      <c r="AQ311"/>
      <c r="AR311"/>
      <c r="AS311"/>
      <c r="AT311"/>
    </row>
    <row r="312" spans="1:46" x14ac:dyDescent="0.25">
      <c r="A312" s="1"/>
      <c r="B312" s="1"/>
      <c r="C312" s="1"/>
      <c r="D312" s="1"/>
      <c r="E312" s="1"/>
      <c r="F312" s="1"/>
      <c r="G312" s="8"/>
      <c r="H312" s="1"/>
      <c r="I312" s="1"/>
      <c r="J312" s="1"/>
      <c r="K312" s="1"/>
      <c r="L312" s="1"/>
      <c r="M312" s="3"/>
      <c r="N312" s="3"/>
      <c r="O312" s="3"/>
      <c r="P312" s="3"/>
      <c r="Q312" s="3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4"/>
      <c r="AG312" s="4"/>
      <c r="AH312" s="4"/>
      <c r="AI312" s="4"/>
      <c r="AJ312" s="11"/>
      <c r="AK312" s="11"/>
      <c r="AL312" s="10"/>
      <c r="AM312" s="11"/>
      <c r="AN312" s="6"/>
      <c r="AO312"/>
      <c r="AP312"/>
      <c r="AQ312"/>
      <c r="AR312"/>
      <c r="AS312"/>
      <c r="AT312"/>
    </row>
    <row r="313" spans="1:46" x14ac:dyDescent="0.25">
      <c r="A313" s="1"/>
      <c r="B313" s="1"/>
      <c r="C313" s="1"/>
      <c r="D313" s="1"/>
      <c r="E313" s="1"/>
      <c r="F313" s="1"/>
      <c r="G313" s="8"/>
      <c r="H313" s="1"/>
      <c r="I313" s="1"/>
      <c r="J313" s="1"/>
      <c r="K313" s="1"/>
      <c r="L313" s="1"/>
      <c r="M313" s="3"/>
      <c r="N313" s="3"/>
      <c r="O313" s="3"/>
      <c r="P313" s="3"/>
      <c r="Q313" s="3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4"/>
      <c r="AG313" s="4"/>
      <c r="AJ313" s="11"/>
      <c r="AM313" s="11"/>
      <c r="AN313" s="6"/>
      <c r="AO313"/>
      <c r="AP313"/>
      <c r="AQ313"/>
      <c r="AR313"/>
      <c r="AS313"/>
      <c r="AT313"/>
    </row>
    <row r="314" spans="1:46" x14ac:dyDescent="0.25">
      <c r="A314" s="1"/>
      <c r="B314" s="1"/>
      <c r="C314" s="1"/>
      <c r="D314" s="1"/>
      <c r="E314" s="1"/>
      <c r="F314" s="1"/>
      <c r="G314" s="8"/>
      <c r="H314" s="1"/>
      <c r="I314" s="1"/>
      <c r="J314" s="1"/>
      <c r="K314" s="1"/>
      <c r="L314" s="1"/>
      <c r="M314" s="3"/>
      <c r="N314" s="3"/>
      <c r="O314" s="3"/>
      <c r="P314" s="3"/>
      <c r="Q314" s="3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4"/>
      <c r="AG314" s="4"/>
      <c r="AJ314" s="11"/>
      <c r="AM314" s="11"/>
      <c r="AN314" s="6"/>
      <c r="AO314"/>
      <c r="AP314"/>
      <c r="AQ314"/>
      <c r="AR314"/>
      <c r="AS314"/>
      <c r="AT314"/>
    </row>
    <row r="315" spans="1:46" x14ac:dyDescent="0.25">
      <c r="A315" s="1"/>
      <c r="B315" s="1"/>
      <c r="C315" s="1"/>
      <c r="D315" s="1"/>
      <c r="E315" s="1"/>
      <c r="F315" s="1"/>
      <c r="G315" s="8"/>
      <c r="H315" s="1"/>
      <c r="I315" s="1"/>
      <c r="J315" s="1"/>
      <c r="K315" s="1"/>
      <c r="L315" s="1"/>
      <c r="M315" s="3"/>
      <c r="N315" s="3"/>
      <c r="O315" s="3"/>
      <c r="P315" s="3"/>
      <c r="Q315" s="3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4"/>
      <c r="AG315" s="4"/>
      <c r="AJ315" s="11"/>
      <c r="AM315" s="11"/>
      <c r="AN315" s="6"/>
      <c r="AO315"/>
      <c r="AP315"/>
      <c r="AQ315"/>
      <c r="AR315"/>
      <c r="AS315"/>
      <c r="AT315"/>
    </row>
    <row r="316" spans="1:46" x14ac:dyDescent="0.25">
      <c r="A316" s="1"/>
      <c r="B316" s="1"/>
      <c r="C316" s="1"/>
      <c r="D316" s="1"/>
      <c r="E316" s="1"/>
      <c r="F316" s="1"/>
      <c r="G316" s="8"/>
      <c r="H316" s="1"/>
      <c r="I316" s="1"/>
      <c r="J316" s="1"/>
      <c r="K316" s="1"/>
      <c r="L316" s="1"/>
      <c r="M316" s="3"/>
      <c r="N316" s="3"/>
      <c r="O316" s="3"/>
      <c r="P316" s="3"/>
      <c r="Q316" s="3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4"/>
      <c r="AG316" s="4"/>
      <c r="AJ316" s="11"/>
      <c r="AM316" s="11"/>
      <c r="AN316" s="6"/>
      <c r="AO316"/>
      <c r="AP316"/>
      <c r="AQ316"/>
      <c r="AR316"/>
      <c r="AS316"/>
      <c r="AT316"/>
    </row>
    <row r="317" spans="1:46" x14ac:dyDescent="0.25">
      <c r="A317" s="1"/>
      <c r="B317" s="1"/>
      <c r="C317" s="1"/>
      <c r="D317" s="1"/>
      <c r="E317" s="1"/>
      <c r="F317" s="1"/>
      <c r="G317" s="8"/>
      <c r="H317" s="1"/>
      <c r="I317" s="1"/>
      <c r="J317" s="1"/>
      <c r="K317" s="1"/>
      <c r="L317" s="1"/>
      <c r="M317" s="3"/>
      <c r="N317" s="3"/>
      <c r="O317" s="3"/>
      <c r="P317" s="3"/>
      <c r="Q317" s="3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4"/>
      <c r="AG317" s="4"/>
      <c r="AJ317" s="11"/>
      <c r="AM317" s="11"/>
      <c r="AN317" s="6"/>
      <c r="AO317"/>
      <c r="AP317"/>
      <c r="AQ317"/>
      <c r="AR317"/>
      <c r="AS317"/>
      <c r="AT317"/>
    </row>
    <row r="318" spans="1:46" x14ac:dyDescent="0.25">
      <c r="A318" s="1"/>
      <c r="B318" s="1"/>
      <c r="C318" s="1"/>
      <c r="D318" s="1"/>
      <c r="E318" s="1"/>
      <c r="F318" s="1"/>
      <c r="G318" s="8"/>
      <c r="H318" s="1"/>
      <c r="I318" s="1"/>
      <c r="J318" s="1"/>
      <c r="K318" s="1"/>
      <c r="L318" s="1"/>
      <c r="M318" s="3"/>
      <c r="N318" s="3"/>
      <c r="O318" s="3"/>
      <c r="P318" s="3"/>
      <c r="Q318" s="3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4"/>
      <c r="AG318" s="4"/>
      <c r="AJ318" s="11"/>
      <c r="AM318" s="11"/>
      <c r="AN318" s="6"/>
      <c r="AO318"/>
      <c r="AP318"/>
      <c r="AQ318"/>
      <c r="AR318"/>
      <c r="AS318"/>
      <c r="AT318"/>
    </row>
    <row r="319" spans="1:46" x14ac:dyDescent="0.25">
      <c r="A319" s="1"/>
      <c r="B319" s="1"/>
      <c r="C319" s="1"/>
      <c r="D319" s="1"/>
      <c r="E319" s="1"/>
      <c r="F319" s="1"/>
      <c r="G319" s="8"/>
      <c r="H319" s="1"/>
      <c r="I319" s="1"/>
      <c r="J319" s="1"/>
      <c r="K319" s="1"/>
      <c r="L319" s="1"/>
      <c r="M319" s="3"/>
      <c r="N319" s="3"/>
      <c r="O319" s="3"/>
      <c r="P319" s="3"/>
      <c r="Q319" s="3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4"/>
      <c r="AG319" s="4"/>
      <c r="AJ319" s="11"/>
      <c r="AM319" s="11"/>
      <c r="AN319" s="6"/>
      <c r="AO319"/>
      <c r="AP319"/>
      <c r="AQ319"/>
      <c r="AR319"/>
      <c r="AS319"/>
      <c r="AT319"/>
    </row>
    <row r="320" spans="1:46" x14ac:dyDescent="0.25">
      <c r="A320" s="1"/>
      <c r="B320" s="1"/>
      <c r="C320" s="1"/>
      <c r="D320" s="1"/>
      <c r="E320" s="1"/>
      <c r="F320" s="1"/>
      <c r="G320" s="8"/>
      <c r="H320" s="1"/>
      <c r="I320" s="1"/>
      <c r="J320" s="1"/>
      <c r="K320" s="1"/>
      <c r="L320" s="1"/>
      <c r="M320" s="3"/>
      <c r="N320" s="3"/>
      <c r="O320" s="3"/>
      <c r="P320" s="3"/>
      <c r="Q320" s="3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4"/>
      <c r="AG320" s="4"/>
      <c r="AJ320" s="11"/>
      <c r="AM320" s="11"/>
      <c r="AN320" s="6"/>
      <c r="AO320"/>
      <c r="AP320"/>
      <c r="AQ320"/>
      <c r="AR320"/>
      <c r="AS320"/>
      <c r="AT320"/>
    </row>
    <row r="321" spans="1:46" x14ac:dyDescent="0.25">
      <c r="A321" s="1"/>
      <c r="B321" s="1"/>
      <c r="C321" s="1"/>
      <c r="D321" s="1"/>
      <c r="E321" s="1"/>
      <c r="F321" s="1"/>
      <c r="G321" s="8"/>
      <c r="H321" s="1"/>
      <c r="I321" s="1"/>
      <c r="J321" s="1"/>
      <c r="K321" s="1"/>
      <c r="L321" s="1"/>
      <c r="M321" s="3"/>
      <c r="N321" s="3"/>
      <c r="O321" s="3"/>
      <c r="P321" s="3"/>
      <c r="Q321" s="3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4"/>
      <c r="AG321" s="4"/>
      <c r="AJ321" s="11"/>
      <c r="AM321" s="11"/>
      <c r="AN321" s="6"/>
      <c r="AO321"/>
      <c r="AP321"/>
      <c r="AQ321"/>
      <c r="AR321"/>
      <c r="AS321"/>
      <c r="AT321"/>
    </row>
    <row r="322" spans="1:46" x14ac:dyDescent="0.25">
      <c r="A322" s="1"/>
      <c r="B322" s="1"/>
      <c r="C322" s="1"/>
      <c r="D322" s="1"/>
      <c r="E322" s="1"/>
      <c r="F322" s="1"/>
      <c r="G322" s="8"/>
      <c r="H322" s="1"/>
      <c r="I322" s="1"/>
      <c r="J322" s="1"/>
      <c r="K322" s="1"/>
      <c r="L322" s="1"/>
      <c r="M322" s="3"/>
      <c r="N322" s="3"/>
      <c r="O322" s="3"/>
      <c r="P322" s="3"/>
      <c r="Q322" s="3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4"/>
      <c r="AG322" s="4"/>
      <c r="AJ322" s="11"/>
      <c r="AM322" s="11"/>
      <c r="AN322" s="6"/>
      <c r="AO322"/>
      <c r="AP322"/>
      <c r="AQ322"/>
      <c r="AR322"/>
      <c r="AS322"/>
      <c r="AT322"/>
    </row>
    <row r="323" spans="1:46" x14ac:dyDescent="0.25">
      <c r="A323" s="1"/>
      <c r="B323" s="1"/>
      <c r="C323" s="1"/>
      <c r="D323" s="1"/>
      <c r="E323" s="1"/>
      <c r="F323" s="1"/>
      <c r="G323" s="8"/>
      <c r="H323" s="1"/>
      <c r="I323" s="1"/>
      <c r="J323" s="1"/>
      <c r="K323" s="1"/>
      <c r="L323" s="1"/>
      <c r="M323" s="3"/>
      <c r="N323" s="3"/>
      <c r="O323" s="3"/>
      <c r="P323" s="3"/>
      <c r="Q323" s="3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4"/>
      <c r="AG323" s="4"/>
      <c r="AJ323" s="11"/>
      <c r="AM323" s="11"/>
      <c r="AN323" s="6"/>
      <c r="AO323"/>
      <c r="AP323"/>
      <c r="AQ323"/>
      <c r="AR323"/>
      <c r="AS323"/>
      <c r="AT323"/>
    </row>
    <row r="324" spans="1:46" x14ac:dyDescent="0.25">
      <c r="A324" s="1"/>
      <c r="B324" s="1"/>
      <c r="C324" s="1"/>
      <c r="D324" s="1"/>
      <c r="E324" s="1"/>
      <c r="F324" s="1"/>
      <c r="G324" s="8"/>
      <c r="H324" s="1"/>
      <c r="I324" s="1"/>
      <c r="J324" s="1"/>
      <c r="K324" s="1"/>
      <c r="L324" s="1"/>
      <c r="M324" s="3"/>
      <c r="N324" s="3"/>
      <c r="O324" s="3"/>
      <c r="P324" s="3"/>
      <c r="Q324" s="3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4"/>
      <c r="AG324" s="4"/>
      <c r="AJ324" s="11"/>
      <c r="AM324" s="11"/>
      <c r="AN324" s="6"/>
      <c r="AO324"/>
      <c r="AP324"/>
      <c r="AQ324"/>
      <c r="AR324"/>
      <c r="AS324"/>
      <c r="AT324"/>
    </row>
    <row r="325" spans="1:46" x14ac:dyDescent="0.25">
      <c r="A325" s="1"/>
      <c r="B325" s="1"/>
      <c r="C325" s="1"/>
      <c r="D325" s="1"/>
      <c r="E325" s="1"/>
      <c r="F325" s="1"/>
      <c r="G325" s="8"/>
      <c r="H325" s="1"/>
      <c r="I325" s="1"/>
      <c r="J325" s="1"/>
      <c r="K325" s="1"/>
      <c r="L325" s="1"/>
      <c r="M325" s="3"/>
      <c r="N325" s="3"/>
      <c r="O325" s="3"/>
      <c r="P325" s="3"/>
      <c r="Q325" s="3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4"/>
      <c r="AG325" s="4"/>
      <c r="AJ325" s="11"/>
      <c r="AM325" s="11"/>
      <c r="AN325" s="6"/>
      <c r="AO325"/>
      <c r="AP325"/>
      <c r="AQ325"/>
      <c r="AR325"/>
      <c r="AS325"/>
      <c r="AT325"/>
    </row>
    <row r="326" spans="1:46" x14ac:dyDescent="0.25">
      <c r="A326" s="1"/>
      <c r="B326" s="1"/>
      <c r="C326" s="1"/>
      <c r="D326" s="1"/>
      <c r="E326" s="1"/>
      <c r="F326" s="1"/>
      <c r="G326" s="8"/>
      <c r="H326" s="1"/>
      <c r="I326" s="1"/>
      <c r="J326" s="1"/>
      <c r="K326" s="1"/>
      <c r="L326" s="1"/>
      <c r="M326" s="3"/>
      <c r="N326" s="3"/>
      <c r="O326" s="3"/>
      <c r="P326" s="3"/>
      <c r="Q326" s="3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4"/>
      <c r="AG326" s="4"/>
      <c r="AJ326" s="11"/>
      <c r="AM326" s="11"/>
      <c r="AN326" s="6"/>
      <c r="AO326"/>
      <c r="AP326"/>
      <c r="AQ326"/>
      <c r="AR326"/>
      <c r="AS326"/>
      <c r="AT326"/>
    </row>
    <row r="327" spans="1:46" x14ac:dyDescent="0.25">
      <c r="A327" s="1"/>
      <c r="B327" s="1"/>
      <c r="C327" s="1"/>
      <c r="D327" s="1"/>
      <c r="E327" s="1"/>
      <c r="F327" s="1"/>
      <c r="G327" s="8"/>
      <c r="H327" s="1"/>
      <c r="I327" s="1"/>
      <c r="J327" s="1"/>
      <c r="K327" s="1"/>
      <c r="L327" s="1"/>
      <c r="M327" s="3"/>
      <c r="N327" s="3"/>
      <c r="O327" s="3"/>
      <c r="P327" s="3"/>
      <c r="Q327" s="3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4"/>
      <c r="AG327" s="4"/>
      <c r="AJ327" s="11"/>
      <c r="AM327" s="11"/>
      <c r="AN327" s="6"/>
      <c r="AO327"/>
      <c r="AP327"/>
      <c r="AQ327"/>
      <c r="AR327"/>
      <c r="AS327"/>
      <c r="AT327"/>
    </row>
    <row r="328" spans="1:46" x14ac:dyDescent="0.25">
      <c r="A328" s="1"/>
      <c r="B328" s="1"/>
      <c r="C328" s="1"/>
      <c r="D328" s="1"/>
      <c r="E328" s="1"/>
      <c r="F328" s="1"/>
      <c r="G328" s="8"/>
      <c r="H328" s="1"/>
      <c r="I328" s="1"/>
      <c r="J328" s="1"/>
      <c r="K328" s="1"/>
      <c r="L328" s="1"/>
      <c r="M328" s="3"/>
      <c r="N328" s="3"/>
      <c r="O328" s="3"/>
      <c r="P328" s="3"/>
      <c r="Q328" s="3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4"/>
      <c r="AG328" s="4"/>
      <c r="AJ328" s="11"/>
      <c r="AM328" s="11"/>
      <c r="AN328" s="6"/>
      <c r="AO328"/>
      <c r="AP328"/>
      <c r="AQ328"/>
      <c r="AR328"/>
      <c r="AS328"/>
      <c r="AT328"/>
    </row>
    <row r="329" spans="1:46" x14ac:dyDescent="0.25">
      <c r="A329" s="1"/>
      <c r="B329" s="1"/>
      <c r="C329" s="1"/>
      <c r="D329" s="1"/>
      <c r="E329" s="1"/>
      <c r="F329" s="1"/>
      <c r="G329" s="8"/>
      <c r="H329" s="1"/>
      <c r="I329" s="1"/>
      <c r="J329" s="1"/>
      <c r="K329" s="1"/>
      <c r="L329" s="1"/>
      <c r="M329" s="3"/>
      <c r="N329" s="3"/>
      <c r="O329" s="3"/>
      <c r="P329" s="3"/>
      <c r="Q329" s="3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4"/>
      <c r="AG329" s="4"/>
      <c r="AJ329" s="11"/>
      <c r="AM329" s="11"/>
      <c r="AN329" s="6"/>
      <c r="AO329"/>
      <c r="AP329"/>
      <c r="AQ329"/>
      <c r="AR329"/>
      <c r="AS329"/>
      <c r="AT329"/>
    </row>
    <row r="330" spans="1:46" x14ac:dyDescent="0.25">
      <c r="A330" s="1"/>
      <c r="B330" s="1"/>
      <c r="C330" s="1"/>
      <c r="D330" s="1"/>
      <c r="E330" s="1"/>
      <c r="F330" s="1"/>
      <c r="G330" s="8"/>
      <c r="H330" s="1"/>
      <c r="I330" s="1"/>
      <c r="J330" s="1"/>
      <c r="K330" s="1"/>
      <c r="L330" s="1"/>
      <c r="M330" s="3"/>
      <c r="N330" s="3"/>
      <c r="O330" s="3"/>
      <c r="P330" s="3"/>
      <c r="Q330" s="3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4"/>
      <c r="AG330" s="4"/>
      <c r="AJ330" s="11"/>
      <c r="AM330" s="11"/>
      <c r="AN330" s="6"/>
      <c r="AO330"/>
      <c r="AP330"/>
      <c r="AQ330"/>
      <c r="AR330"/>
      <c r="AS330"/>
      <c r="AT330"/>
    </row>
    <row r="331" spans="1:46" x14ac:dyDescent="0.25">
      <c r="A331" s="1"/>
      <c r="B331" s="1"/>
      <c r="C331" s="1"/>
      <c r="D331" s="1"/>
      <c r="E331" s="1"/>
      <c r="F331" s="1"/>
      <c r="G331" s="8"/>
      <c r="H331" s="1"/>
      <c r="I331" s="1"/>
      <c r="J331" s="1"/>
      <c r="K331" s="1"/>
      <c r="L331" s="1"/>
      <c r="M331" s="3"/>
      <c r="N331" s="3"/>
      <c r="O331" s="3"/>
      <c r="P331" s="3"/>
      <c r="Q331" s="3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4"/>
      <c r="AG331" s="4"/>
      <c r="AJ331" s="11"/>
      <c r="AM331" s="11"/>
      <c r="AN331" s="6"/>
      <c r="AO331"/>
      <c r="AP331"/>
      <c r="AQ331"/>
      <c r="AR331"/>
      <c r="AS331"/>
      <c r="AT331"/>
    </row>
    <row r="332" spans="1:46" x14ac:dyDescent="0.25">
      <c r="A332" s="1"/>
      <c r="B332" s="1"/>
      <c r="C332" s="1"/>
      <c r="D332" s="1"/>
      <c r="E332" s="1"/>
      <c r="F332" s="1"/>
      <c r="G332" s="8"/>
      <c r="H332" s="1"/>
      <c r="I332" s="1"/>
      <c r="J332" s="1"/>
      <c r="K332" s="1"/>
      <c r="L332" s="1"/>
      <c r="M332" s="3"/>
      <c r="N332" s="3"/>
      <c r="O332" s="3"/>
      <c r="P332" s="3"/>
      <c r="Q332" s="3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4"/>
      <c r="AG332" s="4"/>
      <c r="AJ332" s="11"/>
      <c r="AM332" s="11"/>
      <c r="AN332" s="6"/>
      <c r="AO332"/>
      <c r="AP332"/>
      <c r="AQ332"/>
      <c r="AR332"/>
      <c r="AS332"/>
      <c r="AT332"/>
    </row>
    <row r="333" spans="1:46" x14ac:dyDescent="0.25">
      <c r="A333" s="1"/>
      <c r="B333" s="1"/>
      <c r="C333" s="1"/>
      <c r="D333" s="1"/>
      <c r="E333" s="1"/>
      <c r="F333" s="1"/>
      <c r="G333" s="8"/>
      <c r="H333" s="1"/>
      <c r="I333" s="1"/>
      <c r="J333" s="1"/>
      <c r="K333" s="1"/>
      <c r="L333" s="1"/>
      <c r="M333" s="3"/>
      <c r="N333" s="3"/>
      <c r="O333" s="3"/>
      <c r="P333" s="3"/>
      <c r="Q333" s="3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4"/>
      <c r="AG333" s="4"/>
      <c r="AJ333" s="11"/>
      <c r="AM333" s="11"/>
      <c r="AN333" s="6"/>
      <c r="AO333"/>
      <c r="AP333"/>
      <c r="AQ333"/>
      <c r="AR333"/>
      <c r="AS333"/>
      <c r="AT333"/>
    </row>
    <row r="334" spans="1:46" x14ac:dyDescent="0.25">
      <c r="A334" s="1"/>
      <c r="B334" s="1"/>
      <c r="C334" s="1"/>
      <c r="D334" s="1"/>
      <c r="E334" s="1"/>
      <c r="F334" s="1"/>
      <c r="G334" s="8"/>
      <c r="H334" s="1"/>
      <c r="I334" s="1"/>
      <c r="J334" s="1"/>
      <c r="K334" s="1"/>
      <c r="L334" s="1"/>
      <c r="M334" s="3"/>
      <c r="N334" s="3"/>
      <c r="O334" s="3"/>
      <c r="P334" s="3"/>
      <c r="Q334" s="3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4"/>
      <c r="AG334" s="4"/>
      <c r="AJ334" s="11"/>
      <c r="AM334" s="11"/>
      <c r="AN334" s="6"/>
      <c r="AO334"/>
      <c r="AP334"/>
      <c r="AQ334"/>
      <c r="AR334"/>
      <c r="AS334"/>
      <c r="AT334"/>
    </row>
    <row r="335" spans="1:46" x14ac:dyDescent="0.25">
      <c r="A335" s="1"/>
      <c r="B335" s="1"/>
      <c r="C335" s="1"/>
      <c r="D335" s="1"/>
      <c r="E335" s="1"/>
      <c r="F335" s="1"/>
      <c r="G335" s="8"/>
      <c r="H335" s="1"/>
      <c r="I335" s="1"/>
      <c r="J335" s="1"/>
      <c r="K335" s="1"/>
      <c r="L335" s="1"/>
      <c r="M335" s="3"/>
      <c r="N335" s="3"/>
      <c r="O335" s="3"/>
      <c r="P335" s="3"/>
      <c r="Q335" s="3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4"/>
      <c r="AG335" s="4"/>
      <c r="AJ335" s="11"/>
      <c r="AM335" s="11"/>
      <c r="AN335" s="6"/>
      <c r="AO335"/>
      <c r="AP335"/>
      <c r="AQ335"/>
      <c r="AR335"/>
      <c r="AS335"/>
      <c r="AT335"/>
    </row>
    <row r="336" spans="1:46" x14ac:dyDescent="0.25">
      <c r="A336" s="1"/>
      <c r="B336" s="1"/>
      <c r="C336" s="1"/>
      <c r="D336" s="1"/>
      <c r="E336" s="1"/>
      <c r="F336" s="1"/>
      <c r="G336" s="8"/>
      <c r="H336" s="1"/>
      <c r="I336" s="1"/>
      <c r="J336" s="1"/>
      <c r="K336" s="1"/>
      <c r="L336" s="1"/>
      <c r="M336" s="3"/>
      <c r="N336" s="3"/>
      <c r="O336" s="3"/>
      <c r="P336" s="3"/>
      <c r="Q336" s="3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4"/>
      <c r="AG336" s="4"/>
      <c r="AJ336" s="11"/>
      <c r="AM336" s="11"/>
      <c r="AN336" s="6"/>
      <c r="AO336"/>
      <c r="AP336"/>
      <c r="AQ336"/>
      <c r="AR336"/>
      <c r="AS336"/>
      <c r="AT336"/>
    </row>
    <row r="337" spans="1:46" x14ac:dyDescent="0.25">
      <c r="A337" s="1"/>
      <c r="B337" s="1"/>
      <c r="C337" s="1"/>
      <c r="D337" s="1"/>
      <c r="E337" s="1"/>
      <c r="F337" s="1"/>
      <c r="G337" s="8"/>
      <c r="H337" s="1"/>
      <c r="I337" s="1"/>
      <c r="J337" s="1"/>
      <c r="K337" s="1"/>
      <c r="L337" s="1"/>
      <c r="M337" s="3"/>
      <c r="N337" s="3"/>
      <c r="O337" s="3"/>
      <c r="P337" s="3"/>
      <c r="Q337" s="3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4"/>
      <c r="AG337" s="4"/>
      <c r="AJ337" s="11"/>
      <c r="AM337" s="11"/>
      <c r="AN337" s="6"/>
      <c r="AO337"/>
      <c r="AP337"/>
      <c r="AQ337"/>
      <c r="AR337"/>
      <c r="AS337"/>
      <c r="AT337"/>
    </row>
    <row r="338" spans="1:46" x14ac:dyDescent="0.25">
      <c r="A338" s="1"/>
      <c r="B338" s="1"/>
      <c r="C338" s="1"/>
      <c r="D338" s="1"/>
      <c r="E338" s="1"/>
      <c r="F338" s="1"/>
      <c r="G338" s="8"/>
      <c r="H338" s="1"/>
      <c r="I338" s="1"/>
      <c r="J338" s="1"/>
      <c r="K338" s="1"/>
      <c r="L338" s="1"/>
      <c r="M338" s="3"/>
      <c r="N338" s="3"/>
      <c r="O338" s="3"/>
      <c r="P338" s="3"/>
      <c r="Q338" s="3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4"/>
      <c r="AG338" s="4"/>
      <c r="AJ338" s="11"/>
      <c r="AM338" s="11"/>
      <c r="AN338" s="6"/>
      <c r="AO338"/>
      <c r="AP338"/>
      <c r="AQ338"/>
      <c r="AR338"/>
      <c r="AS338"/>
      <c r="AT338"/>
    </row>
    <row r="339" spans="1:46" x14ac:dyDescent="0.25">
      <c r="A339" s="1"/>
      <c r="B339" s="1"/>
      <c r="C339" s="1"/>
      <c r="D339" s="1"/>
      <c r="E339" s="1"/>
      <c r="F339" s="1"/>
      <c r="G339" s="8"/>
      <c r="H339" s="1"/>
      <c r="I339" s="1"/>
      <c r="J339" s="1"/>
      <c r="K339" s="1"/>
      <c r="L339" s="1"/>
      <c r="M339" s="3"/>
      <c r="N339" s="3"/>
      <c r="O339" s="3"/>
      <c r="P339" s="3"/>
      <c r="Q339" s="3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4"/>
      <c r="AG339" s="4"/>
      <c r="AJ339" s="11"/>
      <c r="AM339" s="11"/>
      <c r="AN339" s="6"/>
      <c r="AO339"/>
      <c r="AP339"/>
      <c r="AQ339"/>
      <c r="AR339"/>
      <c r="AS339"/>
      <c r="AT339"/>
    </row>
    <row r="340" spans="1:46" x14ac:dyDescent="0.25">
      <c r="A340" s="1"/>
      <c r="B340" s="1"/>
      <c r="C340" s="1"/>
      <c r="D340" s="1"/>
      <c r="E340" s="1"/>
      <c r="F340" s="1"/>
      <c r="G340" s="8"/>
      <c r="H340" s="1"/>
      <c r="I340" s="1"/>
      <c r="J340" s="1"/>
      <c r="K340" s="1"/>
      <c r="L340" s="1"/>
      <c r="M340" s="3"/>
      <c r="N340" s="3"/>
      <c r="O340" s="3"/>
      <c r="P340" s="3"/>
      <c r="Q340" s="3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4"/>
      <c r="AG340" s="4"/>
      <c r="AJ340" s="11"/>
      <c r="AM340" s="11"/>
      <c r="AN340" s="6"/>
      <c r="AO340"/>
      <c r="AP340"/>
      <c r="AQ340"/>
      <c r="AR340"/>
      <c r="AS340"/>
      <c r="AT340"/>
    </row>
    <row r="341" spans="1:46" x14ac:dyDescent="0.25">
      <c r="A341" s="1"/>
      <c r="B341" s="1"/>
      <c r="C341" s="1"/>
      <c r="D341" s="1"/>
      <c r="E341" s="1"/>
      <c r="F341" s="1"/>
      <c r="G341" s="8"/>
      <c r="H341" s="1"/>
      <c r="I341" s="1"/>
      <c r="J341" s="1"/>
      <c r="K341" s="1"/>
      <c r="L341" s="1"/>
      <c r="M341" s="3"/>
      <c r="N341" s="3"/>
      <c r="O341" s="3"/>
      <c r="P341" s="3"/>
      <c r="Q341" s="3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4"/>
      <c r="AG341" s="4"/>
      <c r="AJ341" s="11"/>
      <c r="AM341" s="11"/>
      <c r="AN341" s="6"/>
      <c r="AO341"/>
      <c r="AP341"/>
      <c r="AQ341"/>
      <c r="AR341"/>
      <c r="AS341"/>
      <c r="AT341"/>
    </row>
    <row r="342" spans="1:46" x14ac:dyDescent="0.25">
      <c r="A342" s="1"/>
      <c r="B342" s="1"/>
      <c r="C342" s="1"/>
      <c r="D342" s="1"/>
      <c r="E342" s="1"/>
      <c r="F342" s="1"/>
      <c r="G342" s="8"/>
      <c r="H342" s="1"/>
      <c r="I342" s="1"/>
      <c r="J342" s="1"/>
      <c r="K342" s="1"/>
      <c r="L342" s="1"/>
      <c r="M342" s="3"/>
      <c r="N342" s="3"/>
      <c r="O342" s="3"/>
      <c r="P342" s="3"/>
      <c r="Q342" s="3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4"/>
      <c r="AG342" s="4"/>
      <c r="AJ342" s="11"/>
      <c r="AM342" s="11"/>
      <c r="AN342" s="6"/>
      <c r="AO342"/>
      <c r="AP342"/>
      <c r="AQ342"/>
      <c r="AR342"/>
      <c r="AS342"/>
      <c r="AT342"/>
    </row>
    <row r="343" spans="1:46" x14ac:dyDescent="0.25">
      <c r="A343" s="1"/>
      <c r="B343" s="1"/>
      <c r="C343" s="1"/>
      <c r="D343" s="1"/>
      <c r="E343" s="1"/>
      <c r="F343" s="1"/>
      <c r="G343" s="8"/>
      <c r="H343" s="1"/>
      <c r="I343" s="1"/>
      <c r="J343" s="1"/>
      <c r="K343" s="1"/>
      <c r="L343" s="1"/>
      <c r="M343" s="3"/>
      <c r="N343" s="3"/>
      <c r="O343" s="3"/>
      <c r="P343" s="3"/>
      <c r="Q343" s="3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4"/>
      <c r="AG343" s="4"/>
      <c r="AJ343" s="11"/>
      <c r="AM343" s="11"/>
      <c r="AN343" s="6"/>
      <c r="AO343"/>
      <c r="AP343"/>
      <c r="AQ343"/>
      <c r="AR343"/>
      <c r="AS343"/>
      <c r="AT343"/>
    </row>
    <row r="344" spans="1:46" x14ac:dyDescent="0.25">
      <c r="A344" s="1"/>
      <c r="B344" s="1"/>
      <c r="C344" s="1"/>
      <c r="D344" s="1"/>
      <c r="E344" s="1"/>
      <c r="F344" s="1"/>
      <c r="G344" s="8"/>
      <c r="H344" s="1"/>
      <c r="I344" s="1"/>
      <c r="J344" s="1"/>
      <c r="K344" s="1"/>
      <c r="L344" s="1"/>
      <c r="M344" s="3"/>
      <c r="N344" s="3"/>
      <c r="O344" s="3"/>
      <c r="P344" s="3"/>
      <c r="Q344" s="3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4"/>
      <c r="AG344" s="4"/>
      <c r="AJ344" s="11"/>
      <c r="AM344" s="11"/>
      <c r="AN344" s="6"/>
      <c r="AO344"/>
      <c r="AP344"/>
      <c r="AQ344"/>
      <c r="AR344"/>
      <c r="AS344"/>
      <c r="AT344"/>
    </row>
    <row r="345" spans="1:46" x14ac:dyDescent="0.25">
      <c r="A345" s="1"/>
      <c r="B345" s="1"/>
      <c r="C345" s="1"/>
      <c r="D345" s="1"/>
      <c r="E345" s="1"/>
      <c r="F345" s="1"/>
      <c r="G345" s="8"/>
      <c r="H345" s="1"/>
      <c r="I345" s="1"/>
      <c r="J345" s="1"/>
      <c r="K345" s="1"/>
      <c r="L345" s="1"/>
      <c r="M345" s="3"/>
      <c r="N345" s="3"/>
      <c r="O345" s="3"/>
      <c r="P345" s="3"/>
      <c r="Q345" s="3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4"/>
      <c r="AG345" s="4"/>
      <c r="AJ345" s="11"/>
      <c r="AM345" s="11"/>
      <c r="AN345" s="6"/>
      <c r="AO345"/>
      <c r="AP345"/>
      <c r="AQ345"/>
      <c r="AR345"/>
      <c r="AS345"/>
      <c r="AT345"/>
    </row>
    <row r="346" spans="1:46" x14ac:dyDescent="0.25">
      <c r="A346" s="1"/>
      <c r="B346" s="1"/>
      <c r="C346" s="1"/>
      <c r="D346" s="1"/>
      <c r="E346" s="1"/>
      <c r="F346" s="1"/>
      <c r="G346" s="8"/>
      <c r="H346" s="1"/>
      <c r="I346" s="1"/>
      <c r="J346" s="1"/>
      <c r="K346" s="1"/>
      <c r="L346" s="1"/>
      <c r="M346" s="3"/>
      <c r="N346" s="3"/>
      <c r="O346" s="3"/>
      <c r="P346" s="3"/>
      <c r="Q346" s="3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4"/>
      <c r="AG346" s="4"/>
      <c r="AJ346" s="11"/>
      <c r="AM346" s="11"/>
      <c r="AN346" s="6"/>
      <c r="AO346"/>
      <c r="AP346"/>
      <c r="AQ346"/>
      <c r="AR346"/>
      <c r="AS346"/>
      <c r="AT346"/>
    </row>
    <row r="347" spans="1:46" x14ac:dyDescent="0.25">
      <c r="A347" s="1"/>
      <c r="B347" s="1"/>
      <c r="C347" s="1"/>
      <c r="D347" s="1"/>
      <c r="E347" s="1"/>
      <c r="F347" s="1"/>
      <c r="G347" s="8"/>
      <c r="H347" s="1"/>
      <c r="I347" s="1"/>
      <c r="J347" s="1"/>
      <c r="K347" s="1"/>
      <c r="L347" s="1"/>
      <c r="M347" s="3"/>
      <c r="N347" s="3"/>
      <c r="O347" s="3"/>
      <c r="P347" s="3"/>
      <c r="Q347" s="3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4"/>
      <c r="AG347" s="4"/>
      <c r="AJ347" s="11"/>
      <c r="AM347" s="11"/>
      <c r="AN347" s="6"/>
      <c r="AO347"/>
      <c r="AP347"/>
      <c r="AQ347"/>
      <c r="AR347"/>
      <c r="AS347"/>
      <c r="AT347"/>
    </row>
    <row r="348" spans="1:46" x14ac:dyDescent="0.25">
      <c r="A348" s="1"/>
      <c r="B348" s="1"/>
      <c r="C348" s="1"/>
      <c r="D348" s="1"/>
      <c r="E348" s="1"/>
      <c r="F348" s="1"/>
      <c r="G348" s="8"/>
      <c r="H348" s="1"/>
      <c r="I348" s="1"/>
      <c r="J348" s="1"/>
      <c r="K348" s="1"/>
      <c r="L348" s="1"/>
      <c r="M348" s="3"/>
      <c r="N348" s="3"/>
      <c r="O348" s="3"/>
      <c r="P348" s="3"/>
      <c r="Q348" s="3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4"/>
      <c r="AG348" s="4"/>
      <c r="AH348" s="4"/>
      <c r="AI348" s="4"/>
      <c r="AJ348" s="11"/>
      <c r="AK348" s="11"/>
      <c r="AL348" s="10"/>
      <c r="AM348" s="11"/>
      <c r="AN348" s="6"/>
      <c r="AO348"/>
      <c r="AP348"/>
      <c r="AQ348"/>
      <c r="AR348"/>
      <c r="AS348"/>
      <c r="AT348"/>
    </row>
    <row r="349" spans="1:46" x14ac:dyDescent="0.25">
      <c r="A349" s="1"/>
      <c r="B349" s="1"/>
      <c r="C349" s="1"/>
      <c r="D349" s="1"/>
      <c r="E349" s="1"/>
      <c r="F349" s="1"/>
      <c r="G349" s="8"/>
      <c r="H349" s="1"/>
      <c r="I349" s="1"/>
      <c r="J349" s="1"/>
      <c r="K349" s="1"/>
      <c r="L349" s="1"/>
      <c r="M349" s="3"/>
      <c r="N349" s="3"/>
      <c r="O349" s="3"/>
      <c r="P349" s="3"/>
      <c r="Q349" s="3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4"/>
      <c r="AG349" s="4"/>
      <c r="AH349" s="4"/>
      <c r="AI349" s="4"/>
      <c r="AJ349" s="11"/>
      <c r="AK349" s="11"/>
      <c r="AL349" s="10"/>
      <c r="AM349" s="11"/>
      <c r="AN349" s="6"/>
      <c r="AO349"/>
      <c r="AP349"/>
      <c r="AQ349"/>
      <c r="AR349"/>
      <c r="AS349"/>
      <c r="AT349"/>
    </row>
    <row r="350" spans="1:46" x14ac:dyDescent="0.25">
      <c r="A350" s="1"/>
      <c r="B350" s="1"/>
      <c r="C350" s="1"/>
      <c r="D350" s="1"/>
      <c r="E350" s="1"/>
      <c r="F350" s="1"/>
      <c r="G350" s="8"/>
      <c r="H350" s="1"/>
      <c r="I350" s="1"/>
      <c r="J350" s="1"/>
      <c r="K350" s="1"/>
      <c r="L350" s="1"/>
      <c r="M350" s="3"/>
      <c r="N350" s="3"/>
      <c r="O350" s="3"/>
      <c r="P350" s="3"/>
      <c r="Q350" s="3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4"/>
      <c r="AG350" s="4"/>
      <c r="AJ350" s="11"/>
      <c r="AM350" s="11"/>
      <c r="AN350" s="6"/>
      <c r="AO350"/>
      <c r="AP350"/>
      <c r="AQ350"/>
      <c r="AR350"/>
      <c r="AS350"/>
      <c r="AT350"/>
    </row>
    <row r="351" spans="1:46" x14ac:dyDescent="0.25">
      <c r="A351" s="1"/>
      <c r="B351" s="1"/>
      <c r="C351" s="1"/>
      <c r="D351" s="1"/>
      <c r="E351" s="1"/>
      <c r="F351" s="1"/>
      <c r="G351" s="8"/>
      <c r="H351" s="1"/>
      <c r="I351" s="1"/>
      <c r="J351" s="1"/>
      <c r="K351" s="1"/>
      <c r="L351" s="1"/>
      <c r="M351" s="3"/>
      <c r="N351" s="3"/>
      <c r="O351" s="3"/>
      <c r="P351" s="3"/>
      <c r="Q351" s="3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4"/>
      <c r="AG351" s="4"/>
      <c r="AJ351" s="11"/>
      <c r="AM351" s="11"/>
      <c r="AN351" s="6"/>
      <c r="AO351"/>
      <c r="AP351"/>
      <c r="AQ351"/>
      <c r="AR351"/>
      <c r="AS351"/>
      <c r="AT351"/>
    </row>
    <row r="352" spans="1:46" x14ac:dyDescent="0.25">
      <c r="A352" s="1"/>
      <c r="B352" s="1"/>
      <c r="C352" s="1"/>
      <c r="D352" s="1"/>
      <c r="E352" s="1"/>
      <c r="F352" s="1"/>
      <c r="G352" s="8"/>
      <c r="H352" s="1"/>
      <c r="I352" s="1"/>
      <c r="J352" s="1"/>
      <c r="K352" s="1"/>
      <c r="L352" s="1"/>
      <c r="M352" s="3"/>
      <c r="N352" s="3"/>
      <c r="O352" s="3"/>
      <c r="P352" s="3"/>
      <c r="Q352" s="3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4"/>
      <c r="AG352" s="4"/>
      <c r="AJ352" s="11"/>
      <c r="AM352" s="11"/>
      <c r="AN352" s="6"/>
      <c r="AO352"/>
      <c r="AP352"/>
      <c r="AQ352"/>
      <c r="AR352"/>
      <c r="AS352"/>
      <c r="AT352"/>
    </row>
    <row r="353" spans="1:46" x14ac:dyDescent="0.25">
      <c r="A353" s="1"/>
      <c r="B353" s="1"/>
      <c r="C353" s="1"/>
      <c r="D353" s="1"/>
      <c r="E353" s="1"/>
      <c r="F353" s="1"/>
      <c r="G353" s="8"/>
      <c r="H353" s="1"/>
      <c r="I353" s="1"/>
      <c r="J353" s="1"/>
      <c r="K353" s="1"/>
      <c r="L353" s="1"/>
      <c r="M353" s="3"/>
      <c r="N353" s="3"/>
      <c r="O353" s="3"/>
      <c r="P353" s="3"/>
      <c r="Q353" s="3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4"/>
      <c r="AG353" s="4"/>
      <c r="AJ353" s="11"/>
      <c r="AM353" s="11"/>
      <c r="AN353" s="6"/>
      <c r="AO353"/>
      <c r="AP353"/>
      <c r="AQ353"/>
      <c r="AR353"/>
      <c r="AS353"/>
      <c r="AT353"/>
    </row>
    <row r="354" spans="1:46" x14ac:dyDescent="0.25">
      <c r="A354" s="1"/>
      <c r="B354" s="1"/>
      <c r="C354" s="1"/>
      <c r="D354" s="1"/>
      <c r="E354" s="1"/>
      <c r="F354" s="1"/>
      <c r="G354" s="8"/>
      <c r="H354" s="1"/>
      <c r="I354" s="1"/>
      <c r="J354" s="1"/>
      <c r="K354" s="1"/>
      <c r="L354" s="1"/>
      <c r="M354" s="3"/>
      <c r="N354" s="3"/>
      <c r="O354" s="3"/>
      <c r="P354" s="3"/>
      <c r="Q354" s="3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4"/>
      <c r="AG354" s="4"/>
      <c r="AJ354" s="11"/>
      <c r="AM354" s="11"/>
      <c r="AN354" s="6"/>
      <c r="AO354"/>
      <c r="AP354"/>
      <c r="AQ354"/>
      <c r="AR354"/>
      <c r="AS354"/>
      <c r="AT354"/>
    </row>
    <row r="355" spans="1:46" x14ac:dyDescent="0.25">
      <c r="A355" s="1"/>
      <c r="B355" s="1"/>
      <c r="C355" s="1"/>
      <c r="D355" s="1"/>
      <c r="E355" s="1"/>
      <c r="F355" s="1"/>
      <c r="G355" s="8"/>
      <c r="H355" s="1"/>
      <c r="I355" s="1"/>
      <c r="J355" s="1"/>
      <c r="K355" s="1"/>
      <c r="L355" s="1"/>
      <c r="M355" s="3"/>
      <c r="N355" s="3"/>
      <c r="O355" s="3"/>
      <c r="P355" s="3"/>
      <c r="Q355" s="3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4"/>
      <c r="AG355" s="4"/>
      <c r="AJ355" s="11"/>
      <c r="AM355" s="11"/>
      <c r="AN355" s="6"/>
      <c r="AO355"/>
      <c r="AP355"/>
      <c r="AQ355"/>
      <c r="AR355"/>
      <c r="AS355"/>
      <c r="AT355"/>
    </row>
    <row r="356" spans="1:46" x14ac:dyDescent="0.25">
      <c r="A356" s="1"/>
      <c r="B356" s="1"/>
      <c r="C356" s="1"/>
      <c r="D356" s="1"/>
      <c r="E356" s="1"/>
      <c r="F356" s="1"/>
      <c r="G356" s="8"/>
      <c r="H356" s="1"/>
      <c r="I356" s="1"/>
      <c r="J356" s="1"/>
      <c r="K356" s="1"/>
      <c r="L356" s="1"/>
      <c r="M356" s="3"/>
      <c r="N356" s="3"/>
      <c r="O356" s="3"/>
      <c r="P356" s="3"/>
      <c r="Q356" s="3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4"/>
      <c r="AG356" s="4"/>
      <c r="AJ356" s="11"/>
      <c r="AM356" s="11"/>
      <c r="AN356" s="6"/>
      <c r="AO356"/>
      <c r="AP356"/>
      <c r="AQ356"/>
      <c r="AR356"/>
      <c r="AS356"/>
      <c r="AT356"/>
    </row>
    <row r="357" spans="1:46" x14ac:dyDescent="0.25">
      <c r="A357" s="1"/>
      <c r="B357" s="1"/>
      <c r="C357" s="1"/>
      <c r="D357" s="1"/>
      <c r="E357" s="1"/>
      <c r="F357" s="1"/>
      <c r="G357" s="8"/>
      <c r="H357" s="1"/>
      <c r="I357" s="1"/>
      <c r="J357" s="1"/>
      <c r="K357" s="1"/>
      <c r="L357" s="1"/>
      <c r="M357" s="3"/>
      <c r="N357" s="3"/>
      <c r="O357" s="3"/>
      <c r="P357" s="3"/>
      <c r="Q357" s="3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4"/>
      <c r="AG357" s="4"/>
      <c r="AJ357" s="11"/>
      <c r="AM357" s="11"/>
      <c r="AN357" s="6"/>
      <c r="AR357"/>
      <c r="AS357"/>
      <c r="AT357"/>
    </row>
    <row r="358" spans="1:46" x14ac:dyDescent="0.25">
      <c r="A358" s="1"/>
      <c r="B358" s="1"/>
      <c r="C358" s="1"/>
      <c r="D358" s="1"/>
      <c r="E358" s="1"/>
      <c r="F358" s="1"/>
      <c r="G358" s="8"/>
      <c r="H358" s="1"/>
      <c r="I358" s="1"/>
      <c r="J358" s="1"/>
      <c r="K358" s="1"/>
      <c r="L358" s="1"/>
      <c r="M358" s="3"/>
      <c r="N358" s="3"/>
      <c r="O358" s="3"/>
      <c r="P358" s="3"/>
      <c r="Q358" s="3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4"/>
      <c r="AG358" s="4"/>
      <c r="AJ358" s="11"/>
      <c r="AM358" s="11"/>
      <c r="AN358" s="6"/>
      <c r="AR358"/>
      <c r="AS358"/>
      <c r="AT358"/>
    </row>
    <row r="359" spans="1:46" x14ac:dyDescent="0.25">
      <c r="A359" s="1"/>
      <c r="B359" s="1"/>
      <c r="C359" s="1"/>
      <c r="D359" s="1"/>
      <c r="E359" s="1"/>
      <c r="F359" s="1"/>
      <c r="G359" s="8"/>
      <c r="H359" s="1"/>
      <c r="I359" s="1"/>
      <c r="J359" s="1"/>
      <c r="K359" s="1"/>
      <c r="L359" s="1"/>
      <c r="M359" s="3"/>
      <c r="N359" s="3"/>
      <c r="O359" s="3"/>
      <c r="P359" s="3"/>
      <c r="Q359" s="3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4"/>
      <c r="AG359" s="4"/>
      <c r="AJ359" s="11"/>
      <c r="AM359" s="11"/>
      <c r="AN359" s="6"/>
      <c r="AR359"/>
      <c r="AS359"/>
      <c r="AT359"/>
    </row>
    <row r="360" spans="1:46" x14ac:dyDescent="0.25">
      <c r="A360" s="1"/>
      <c r="B360" s="1"/>
      <c r="C360" s="1"/>
      <c r="D360" s="1"/>
      <c r="E360" s="1"/>
      <c r="F360" s="1"/>
      <c r="G360" s="8"/>
      <c r="H360" s="1"/>
      <c r="I360" s="1"/>
      <c r="J360" s="1"/>
      <c r="K360" s="1"/>
      <c r="L360" s="1"/>
      <c r="M360" s="3"/>
      <c r="N360" s="3"/>
      <c r="O360" s="3"/>
      <c r="P360" s="3"/>
      <c r="Q360" s="3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4"/>
      <c r="AG360" s="4"/>
      <c r="AJ360" s="11"/>
      <c r="AM360" s="11"/>
      <c r="AN360" s="6"/>
      <c r="AR360"/>
      <c r="AS360"/>
      <c r="AT360"/>
    </row>
    <row r="361" spans="1:46" x14ac:dyDescent="0.25">
      <c r="A361" s="1"/>
      <c r="B361" s="1"/>
      <c r="C361" s="1"/>
      <c r="D361" s="1"/>
      <c r="E361" s="1"/>
      <c r="F361" s="1"/>
      <c r="G361" s="8"/>
      <c r="H361" s="1"/>
      <c r="I361" s="1"/>
      <c r="J361" s="1"/>
      <c r="K361" s="1"/>
      <c r="L361" s="1"/>
      <c r="M361" s="3"/>
      <c r="N361" s="3"/>
      <c r="O361" s="3"/>
      <c r="P361" s="3"/>
      <c r="Q361" s="3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4"/>
      <c r="AG361" s="4"/>
      <c r="AJ361" s="11"/>
      <c r="AM361" s="11"/>
      <c r="AN361" s="6"/>
      <c r="AR361"/>
      <c r="AS361"/>
      <c r="AT361"/>
    </row>
    <row r="362" spans="1:46" x14ac:dyDescent="0.25">
      <c r="A362" s="1"/>
      <c r="B362" s="1"/>
      <c r="C362" s="1"/>
      <c r="D362" s="1"/>
      <c r="E362" s="1"/>
      <c r="F362" s="1"/>
      <c r="G362" s="8"/>
      <c r="H362" s="1"/>
      <c r="I362" s="1"/>
      <c r="J362" s="1"/>
      <c r="K362" s="1"/>
      <c r="L362" s="1"/>
      <c r="M362" s="3"/>
      <c r="N362" s="3"/>
      <c r="O362" s="3"/>
      <c r="P362" s="3"/>
      <c r="Q362" s="3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4"/>
      <c r="AG362" s="4"/>
      <c r="AJ362" s="11"/>
      <c r="AM362" s="11"/>
      <c r="AN362" s="6"/>
      <c r="AR362"/>
      <c r="AS362"/>
      <c r="AT362"/>
    </row>
    <row r="363" spans="1:46" x14ac:dyDescent="0.25">
      <c r="A363" s="1"/>
      <c r="B363" s="1"/>
      <c r="C363" s="1"/>
      <c r="D363" s="1"/>
      <c r="E363" s="1"/>
      <c r="F363" s="1"/>
      <c r="G363" s="8"/>
      <c r="H363" s="1"/>
      <c r="I363" s="1"/>
      <c r="J363" s="1"/>
      <c r="K363" s="1"/>
      <c r="L363" s="1"/>
      <c r="M363" s="3"/>
      <c r="N363" s="3"/>
      <c r="O363" s="3"/>
      <c r="P363" s="3"/>
      <c r="Q363" s="3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4"/>
      <c r="AG363" s="4"/>
      <c r="AJ363" s="11"/>
      <c r="AM363" s="11"/>
      <c r="AN363" s="6"/>
      <c r="AR363"/>
      <c r="AS363"/>
      <c r="AT363"/>
    </row>
    <row r="364" spans="1:46" x14ac:dyDescent="0.25">
      <c r="A364" s="1"/>
      <c r="B364" s="1"/>
      <c r="C364" s="1"/>
      <c r="D364" s="1"/>
      <c r="E364" s="1"/>
      <c r="F364" s="1"/>
      <c r="G364" s="8"/>
      <c r="H364" s="1"/>
      <c r="I364" s="1"/>
      <c r="J364" s="1"/>
      <c r="K364" s="1"/>
      <c r="L364" s="1"/>
      <c r="M364" s="3"/>
      <c r="N364" s="3"/>
      <c r="O364" s="3"/>
      <c r="P364" s="3"/>
      <c r="Q364" s="3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4"/>
      <c r="AG364" s="4"/>
      <c r="AJ364" s="11"/>
      <c r="AM364" s="11"/>
      <c r="AN364" s="6"/>
      <c r="AR364"/>
      <c r="AS364"/>
      <c r="AT364"/>
    </row>
    <row r="365" spans="1:46" x14ac:dyDescent="0.25">
      <c r="A365" s="1"/>
      <c r="B365" s="1"/>
      <c r="C365" s="1"/>
      <c r="D365" s="1"/>
      <c r="E365" s="1"/>
      <c r="F365" s="1"/>
      <c r="G365" s="8"/>
      <c r="H365" s="1"/>
      <c r="I365" s="1"/>
      <c r="J365" s="1"/>
      <c r="K365" s="1"/>
      <c r="L365" s="1"/>
      <c r="M365" s="3"/>
      <c r="N365" s="3"/>
      <c r="O365" s="3"/>
      <c r="P365" s="3"/>
      <c r="Q365" s="3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4"/>
      <c r="AG365" s="4"/>
      <c r="AJ365" s="11"/>
      <c r="AM365" s="11"/>
      <c r="AN365" s="6"/>
      <c r="AR365"/>
      <c r="AS365"/>
      <c r="AT365"/>
    </row>
    <row r="366" spans="1:46" x14ac:dyDescent="0.25">
      <c r="A366" s="1"/>
      <c r="B366" s="1"/>
      <c r="C366" s="1"/>
      <c r="D366" s="1"/>
      <c r="E366" s="1"/>
      <c r="F366" s="1"/>
      <c r="G366" s="8"/>
      <c r="H366" s="1"/>
      <c r="I366" s="1"/>
      <c r="J366" s="1"/>
      <c r="K366" s="1"/>
      <c r="L366" s="1"/>
      <c r="M366" s="3"/>
      <c r="N366" s="3"/>
      <c r="O366" s="3"/>
      <c r="P366" s="3"/>
      <c r="Q366" s="3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4"/>
      <c r="AG366" s="4"/>
      <c r="AJ366" s="11"/>
      <c r="AM366" s="11"/>
      <c r="AN366" s="6"/>
      <c r="AR366"/>
      <c r="AS366"/>
      <c r="AT366"/>
    </row>
    <row r="367" spans="1:46" x14ac:dyDescent="0.25">
      <c r="A367" s="1"/>
      <c r="B367" s="1"/>
      <c r="C367" s="1"/>
      <c r="D367" s="1"/>
      <c r="E367" s="1"/>
      <c r="F367" s="1"/>
      <c r="G367" s="8"/>
      <c r="H367" s="1"/>
      <c r="I367" s="1"/>
      <c r="J367" s="1"/>
      <c r="K367" s="1"/>
      <c r="L367" s="1"/>
      <c r="M367" s="3"/>
      <c r="N367" s="3"/>
      <c r="O367" s="3"/>
      <c r="P367" s="3"/>
      <c r="Q367" s="3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4"/>
      <c r="AG367" s="4"/>
      <c r="AJ367" s="11"/>
      <c r="AM367" s="11"/>
      <c r="AN367" s="6"/>
      <c r="AR367"/>
      <c r="AS367"/>
      <c r="AT367"/>
    </row>
    <row r="368" spans="1:46" x14ac:dyDescent="0.25">
      <c r="A368" s="1"/>
      <c r="B368" s="1"/>
      <c r="C368" s="1"/>
      <c r="D368" s="1"/>
      <c r="E368" s="1"/>
      <c r="F368" s="1"/>
      <c r="G368" s="8"/>
      <c r="H368" s="1"/>
      <c r="I368" s="1"/>
      <c r="J368" s="1"/>
      <c r="K368" s="1"/>
      <c r="L368" s="1"/>
      <c r="M368" s="3"/>
      <c r="N368" s="3"/>
      <c r="O368" s="3"/>
      <c r="P368" s="3"/>
      <c r="Q368" s="3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4"/>
      <c r="AG368" s="4"/>
      <c r="AJ368" s="11"/>
      <c r="AM368" s="11"/>
      <c r="AN368" s="6"/>
      <c r="AR368"/>
      <c r="AS368"/>
      <c r="AT368"/>
    </row>
    <row r="369" spans="1:46" x14ac:dyDescent="0.25">
      <c r="A369" s="1"/>
      <c r="B369" s="1"/>
      <c r="C369" s="1"/>
      <c r="D369" s="1"/>
      <c r="E369" s="1"/>
      <c r="F369" s="1"/>
      <c r="G369" s="8"/>
      <c r="H369" s="1"/>
      <c r="I369" s="1"/>
      <c r="J369" s="1"/>
      <c r="K369" s="1"/>
      <c r="L369" s="1"/>
      <c r="M369" s="3"/>
      <c r="N369" s="3"/>
      <c r="O369" s="3"/>
      <c r="P369" s="3"/>
      <c r="Q369" s="3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4"/>
      <c r="AG369" s="4"/>
      <c r="AJ369" s="11"/>
      <c r="AM369" s="11"/>
      <c r="AN369" s="6"/>
      <c r="AR369"/>
      <c r="AS369"/>
      <c r="AT369"/>
    </row>
    <row r="370" spans="1:46" x14ac:dyDescent="0.25">
      <c r="A370" s="1"/>
      <c r="B370" s="1"/>
      <c r="C370" s="1"/>
      <c r="D370" s="1"/>
      <c r="E370" s="1"/>
      <c r="F370" s="1"/>
      <c r="G370" s="8"/>
      <c r="H370" s="1"/>
      <c r="I370" s="1"/>
      <c r="J370" s="1"/>
      <c r="K370" s="1"/>
      <c r="L370" s="1"/>
      <c r="M370" s="3"/>
      <c r="N370" s="3"/>
      <c r="O370" s="3"/>
      <c r="P370" s="3"/>
      <c r="Q370" s="3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4"/>
      <c r="AG370" s="4"/>
      <c r="AJ370" s="11"/>
      <c r="AM370" s="11"/>
      <c r="AN370" s="6"/>
      <c r="AR370"/>
      <c r="AS370"/>
      <c r="AT370"/>
    </row>
    <row r="371" spans="1:46" x14ac:dyDescent="0.25">
      <c r="A371" s="1"/>
      <c r="B371" s="1"/>
      <c r="C371" s="1"/>
      <c r="D371" s="1"/>
      <c r="E371" s="1"/>
      <c r="F371" s="1"/>
      <c r="G371" s="8"/>
      <c r="H371" s="1"/>
      <c r="I371" s="1"/>
      <c r="J371" s="1"/>
      <c r="K371" s="1"/>
      <c r="L371" s="1"/>
      <c r="M371" s="3"/>
      <c r="N371" s="3"/>
      <c r="O371" s="3"/>
      <c r="P371" s="3"/>
      <c r="Q371" s="3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4"/>
      <c r="AG371" s="4"/>
      <c r="AJ371" s="11"/>
      <c r="AM371" s="11"/>
      <c r="AN371" s="6"/>
      <c r="AR371"/>
      <c r="AS371"/>
      <c r="AT371"/>
    </row>
    <row r="372" spans="1:46" x14ac:dyDescent="0.25">
      <c r="A372" s="1"/>
      <c r="B372" s="1"/>
      <c r="C372" s="1"/>
      <c r="D372" s="1"/>
      <c r="E372" s="1"/>
      <c r="F372" s="1"/>
      <c r="G372" s="8"/>
      <c r="H372" s="1"/>
      <c r="I372" s="1"/>
      <c r="J372" s="1"/>
      <c r="K372" s="1"/>
      <c r="L372" s="1"/>
      <c r="M372" s="3"/>
      <c r="N372" s="3"/>
      <c r="O372" s="3"/>
      <c r="P372" s="3"/>
      <c r="Q372" s="3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4"/>
      <c r="AG372" s="4"/>
      <c r="AJ372" s="11"/>
      <c r="AM372" s="11"/>
      <c r="AN372" s="6"/>
      <c r="AR372"/>
      <c r="AS372"/>
      <c r="AT372"/>
    </row>
    <row r="373" spans="1:46" x14ac:dyDescent="0.25">
      <c r="A373" s="1"/>
      <c r="B373" s="1"/>
      <c r="C373" s="1"/>
      <c r="D373" s="1"/>
      <c r="E373" s="1"/>
      <c r="F373" s="1"/>
      <c r="G373" s="8"/>
      <c r="H373" s="1"/>
      <c r="I373" s="1"/>
      <c r="J373" s="1"/>
      <c r="K373" s="1"/>
      <c r="L373" s="1"/>
      <c r="M373" s="3"/>
      <c r="N373" s="3"/>
      <c r="O373" s="3"/>
      <c r="P373" s="3"/>
      <c r="Q373" s="3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4"/>
      <c r="AG373" s="4"/>
      <c r="AJ373" s="11"/>
      <c r="AM373" s="11"/>
      <c r="AN373" s="6"/>
      <c r="AR373"/>
      <c r="AS373"/>
      <c r="AT373"/>
    </row>
    <row r="374" spans="1:46" x14ac:dyDescent="0.25">
      <c r="A374" s="1"/>
      <c r="B374" s="1"/>
      <c r="C374" s="1"/>
      <c r="D374" s="1"/>
      <c r="E374" s="1"/>
      <c r="F374" s="1"/>
      <c r="G374" s="8"/>
      <c r="H374" s="1"/>
      <c r="I374" s="1"/>
      <c r="J374" s="1"/>
      <c r="K374" s="1"/>
      <c r="L374" s="1"/>
      <c r="M374" s="3"/>
      <c r="N374" s="3"/>
      <c r="O374" s="3"/>
      <c r="P374" s="3"/>
      <c r="Q374" s="3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4"/>
      <c r="AG374" s="4"/>
      <c r="AJ374" s="11"/>
      <c r="AM374" s="11"/>
      <c r="AN374" s="6"/>
      <c r="AR374"/>
      <c r="AS374"/>
      <c r="AT374"/>
    </row>
    <row r="375" spans="1:46" x14ac:dyDescent="0.25">
      <c r="A375" s="1"/>
      <c r="B375" s="1"/>
      <c r="C375" s="1"/>
      <c r="D375" s="1"/>
      <c r="E375" s="1"/>
      <c r="F375" s="1"/>
      <c r="G375" s="8"/>
      <c r="H375" s="1"/>
      <c r="I375" s="1"/>
      <c r="J375" s="1"/>
      <c r="K375" s="1"/>
      <c r="L375" s="1"/>
      <c r="M375" s="3"/>
      <c r="N375" s="3"/>
      <c r="O375" s="3"/>
      <c r="P375" s="3"/>
      <c r="Q375" s="3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4"/>
      <c r="AG375" s="4"/>
      <c r="AJ375" s="11"/>
      <c r="AM375" s="11"/>
      <c r="AN375" s="6"/>
      <c r="AR375"/>
      <c r="AS375"/>
      <c r="AT375"/>
    </row>
    <row r="376" spans="1:46" x14ac:dyDescent="0.25">
      <c r="A376" s="1"/>
      <c r="B376" s="1"/>
      <c r="C376" s="1"/>
      <c r="D376" s="1"/>
      <c r="E376" s="1"/>
      <c r="F376" s="1"/>
      <c r="G376" s="8"/>
      <c r="H376" s="1"/>
      <c r="I376" s="1"/>
      <c r="J376" s="1"/>
      <c r="K376" s="1"/>
      <c r="L376" s="1"/>
      <c r="M376" s="3"/>
      <c r="N376" s="3"/>
      <c r="O376" s="3"/>
      <c r="P376" s="3"/>
      <c r="Q376" s="3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4"/>
      <c r="AG376" s="4"/>
      <c r="AH376" s="4"/>
      <c r="AI376" s="4"/>
      <c r="AJ376" s="11"/>
      <c r="AK376" s="11"/>
      <c r="AL376" s="10"/>
      <c r="AM376" s="11"/>
      <c r="AN376" s="6"/>
      <c r="AR376"/>
      <c r="AS376"/>
      <c r="AT376"/>
    </row>
    <row r="377" spans="1:46" x14ac:dyDescent="0.25">
      <c r="A377" s="1"/>
      <c r="B377" s="1"/>
      <c r="C377" s="1"/>
      <c r="D377" s="1"/>
      <c r="E377" s="1"/>
      <c r="F377" s="1"/>
      <c r="G377" s="8"/>
      <c r="H377" s="1"/>
      <c r="I377" s="1"/>
      <c r="J377" s="1"/>
      <c r="K377" s="1"/>
      <c r="L377" s="1"/>
      <c r="M377" s="3"/>
      <c r="N377" s="3"/>
      <c r="O377" s="3"/>
      <c r="P377" s="3"/>
      <c r="Q377" s="3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4"/>
      <c r="AG377" s="4"/>
      <c r="AH377" s="4"/>
      <c r="AI377" s="4"/>
      <c r="AJ377" s="11"/>
      <c r="AK377" s="11"/>
      <c r="AL377" s="10"/>
      <c r="AM377" s="11"/>
      <c r="AN377" s="6"/>
      <c r="AR377"/>
      <c r="AS377"/>
      <c r="AT377"/>
    </row>
    <row r="378" spans="1:46" x14ac:dyDescent="0.25">
      <c r="A378" s="1"/>
      <c r="B378" s="1"/>
      <c r="C378" s="1"/>
      <c r="D378" s="1"/>
      <c r="E378" s="1"/>
      <c r="F378" s="1"/>
      <c r="G378" s="8"/>
      <c r="H378" s="1"/>
      <c r="I378" s="1"/>
      <c r="J378" s="1"/>
      <c r="K378" s="1"/>
      <c r="L378" s="1"/>
      <c r="M378" s="3"/>
      <c r="N378" s="3"/>
      <c r="O378" s="3"/>
      <c r="P378" s="3"/>
      <c r="Q378" s="3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4"/>
      <c r="AG378" s="4"/>
      <c r="AH378" s="4"/>
      <c r="AI378" s="4"/>
      <c r="AJ378" s="11"/>
      <c r="AK378" s="11"/>
      <c r="AL378" s="10"/>
      <c r="AM378" s="11"/>
      <c r="AN378" s="6"/>
      <c r="AR378"/>
      <c r="AS378"/>
      <c r="AT378"/>
    </row>
    <row r="379" spans="1:46" x14ac:dyDescent="0.25">
      <c r="A379" s="1"/>
      <c r="B379" s="1"/>
      <c r="C379" s="1"/>
      <c r="D379" s="1"/>
      <c r="E379" s="1"/>
      <c r="F379" s="1"/>
      <c r="G379" s="8"/>
      <c r="H379" s="1"/>
      <c r="I379" s="1"/>
      <c r="J379" s="1"/>
      <c r="K379" s="1"/>
      <c r="L379" s="1"/>
      <c r="M379" s="3"/>
      <c r="N379" s="3"/>
      <c r="O379" s="3"/>
      <c r="P379" s="3"/>
      <c r="Q379" s="3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4"/>
      <c r="AG379" s="4"/>
      <c r="AH379" s="4"/>
      <c r="AI379" s="4"/>
      <c r="AJ379" s="11"/>
      <c r="AK379" s="11"/>
      <c r="AL379" s="10"/>
      <c r="AM379" s="11"/>
      <c r="AN379" s="6"/>
      <c r="AR379"/>
      <c r="AS379"/>
      <c r="AT379"/>
    </row>
    <row r="380" spans="1:46" x14ac:dyDescent="0.25">
      <c r="A380" s="1"/>
      <c r="B380" s="1"/>
      <c r="C380" s="1"/>
      <c r="D380" s="1"/>
      <c r="E380" s="1"/>
      <c r="F380" s="1"/>
      <c r="G380" s="8"/>
      <c r="H380" s="1"/>
      <c r="I380" s="1"/>
      <c r="J380" s="1"/>
      <c r="K380" s="1"/>
      <c r="L380" s="1"/>
      <c r="M380" s="3"/>
      <c r="N380" s="3"/>
      <c r="O380" s="3"/>
      <c r="P380" s="3"/>
      <c r="Q380" s="3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4"/>
      <c r="AG380" s="4"/>
      <c r="AJ380" s="11"/>
      <c r="AM380" s="11"/>
      <c r="AN380" s="6"/>
      <c r="AR380"/>
      <c r="AS380"/>
      <c r="AT380"/>
    </row>
    <row r="381" spans="1:46" x14ac:dyDescent="0.25">
      <c r="A381" s="1"/>
      <c r="B381" s="1"/>
      <c r="C381" s="1"/>
      <c r="D381" s="1"/>
      <c r="E381" s="1"/>
      <c r="F381" s="1"/>
      <c r="G381" s="8"/>
      <c r="H381" s="1"/>
      <c r="I381" s="1"/>
      <c r="J381" s="1"/>
      <c r="K381" s="1"/>
      <c r="L381" s="1"/>
      <c r="M381" s="3"/>
      <c r="N381" s="3"/>
      <c r="O381" s="3"/>
      <c r="P381" s="3"/>
      <c r="Q381" s="3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4"/>
      <c r="AG381" s="4"/>
      <c r="AJ381" s="11"/>
      <c r="AM381" s="11"/>
      <c r="AN381" s="6"/>
      <c r="AR381"/>
      <c r="AS381"/>
      <c r="AT381"/>
    </row>
    <row r="382" spans="1:46" x14ac:dyDescent="0.25">
      <c r="A382" s="1"/>
      <c r="B382" s="1"/>
      <c r="C382" s="1"/>
      <c r="D382" s="1"/>
      <c r="E382" s="1"/>
      <c r="F382" s="1"/>
      <c r="G382" s="8"/>
      <c r="H382" s="1"/>
      <c r="I382" s="1"/>
      <c r="J382" s="1"/>
      <c r="K382" s="1"/>
      <c r="L382" s="1"/>
      <c r="M382" s="3"/>
      <c r="N382" s="3"/>
      <c r="O382" s="3"/>
      <c r="P382" s="3"/>
      <c r="Q382" s="3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4"/>
      <c r="AG382" s="4"/>
      <c r="AJ382" s="11"/>
      <c r="AM382" s="11"/>
      <c r="AN382" s="6"/>
      <c r="AR382"/>
      <c r="AS382"/>
      <c r="AT382"/>
    </row>
    <row r="383" spans="1:46" x14ac:dyDescent="0.25">
      <c r="A383" s="1"/>
      <c r="B383" s="1"/>
      <c r="C383" s="1"/>
      <c r="D383" s="1"/>
      <c r="E383" s="1"/>
      <c r="F383" s="1"/>
      <c r="G383" s="8"/>
      <c r="H383" s="1"/>
      <c r="I383" s="1"/>
      <c r="J383" s="1"/>
      <c r="K383" s="1"/>
      <c r="L383" s="1"/>
      <c r="M383" s="3"/>
      <c r="N383" s="3"/>
      <c r="O383" s="3"/>
      <c r="P383" s="3"/>
      <c r="Q383" s="3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4"/>
      <c r="AG383" s="4"/>
      <c r="AJ383" s="11"/>
      <c r="AM383" s="11"/>
      <c r="AN383" s="6"/>
      <c r="AR383"/>
      <c r="AS383"/>
      <c r="AT383"/>
    </row>
    <row r="384" spans="1:46" x14ac:dyDescent="0.25">
      <c r="A384" s="1"/>
      <c r="B384" s="1"/>
      <c r="C384" s="1"/>
      <c r="D384" s="1"/>
      <c r="E384" s="1"/>
      <c r="F384" s="1"/>
      <c r="G384" s="8"/>
      <c r="H384" s="1"/>
      <c r="I384" s="1"/>
      <c r="J384" s="1"/>
      <c r="K384" s="1"/>
      <c r="L384" s="1"/>
      <c r="M384" s="3"/>
      <c r="N384" s="3"/>
      <c r="O384" s="3"/>
      <c r="P384" s="3"/>
      <c r="Q384" s="3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4"/>
      <c r="AG384" s="4"/>
      <c r="AJ384" s="11"/>
      <c r="AM384" s="11"/>
      <c r="AN384" s="6"/>
      <c r="AR384"/>
      <c r="AS384"/>
      <c r="AT384"/>
    </row>
    <row r="385" spans="1:46" x14ac:dyDescent="0.25">
      <c r="A385" s="1"/>
      <c r="B385" s="1"/>
      <c r="C385" s="1"/>
      <c r="D385" s="1"/>
      <c r="E385" s="1"/>
      <c r="F385" s="1"/>
      <c r="G385" s="8"/>
      <c r="H385" s="1"/>
      <c r="I385" s="1"/>
      <c r="J385" s="1"/>
      <c r="K385" s="1"/>
      <c r="L385" s="1"/>
      <c r="M385" s="3"/>
      <c r="N385" s="3"/>
      <c r="O385" s="3"/>
      <c r="P385" s="3"/>
      <c r="Q385" s="3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4"/>
      <c r="AG385" s="4"/>
      <c r="AJ385" s="11"/>
      <c r="AM385" s="11"/>
      <c r="AN385" s="6"/>
      <c r="AR385"/>
      <c r="AS385"/>
      <c r="AT385"/>
    </row>
    <row r="386" spans="1:46" x14ac:dyDescent="0.25">
      <c r="A386" s="1"/>
      <c r="B386" s="1"/>
      <c r="C386" s="1"/>
      <c r="D386" s="1"/>
      <c r="E386" s="1"/>
      <c r="F386" s="1"/>
      <c r="G386" s="8"/>
      <c r="H386" s="1"/>
      <c r="I386" s="1"/>
      <c r="J386" s="1"/>
      <c r="K386" s="1"/>
      <c r="L386" s="1"/>
      <c r="M386" s="3"/>
      <c r="N386" s="3"/>
      <c r="O386" s="3"/>
      <c r="P386" s="3"/>
      <c r="Q386" s="3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4"/>
      <c r="AG386" s="4"/>
      <c r="AJ386" s="11"/>
      <c r="AM386" s="11"/>
      <c r="AN386" s="6"/>
      <c r="AR386"/>
      <c r="AS386"/>
      <c r="AT386"/>
    </row>
    <row r="387" spans="1:46" x14ac:dyDescent="0.25">
      <c r="A387" s="1"/>
      <c r="B387" s="1"/>
      <c r="C387" s="1"/>
      <c r="D387" s="1"/>
      <c r="E387" s="1"/>
      <c r="F387" s="1"/>
      <c r="G387" s="8"/>
      <c r="H387" s="1"/>
      <c r="I387" s="1"/>
      <c r="J387" s="1"/>
      <c r="K387" s="1"/>
      <c r="L387" s="1"/>
      <c r="M387" s="3"/>
      <c r="N387" s="3"/>
      <c r="O387" s="3"/>
      <c r="P387" s="3"/>
      <c r="Q387" s="3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4"/>
      <c r="AG387" s="4"/>
      <c r="AJ387" s="11"/>
      <c r="AM387" s="11"/>
      <c r="AN387" s="6"/>
      <c r="AR387"/>
      <c r="AS387"/>
      <c r="AT387"/>
    </row>
    <row r="388" spans="1:46" x14ac:dyDescent="0.25">
      <c r="A388" s="1"/>
      <c r="B388" s="1"/>
      <c r="C388" s="1"/>
      <c r="D388" s="1"/>
      <c r="E388" s="1"/>
      <c r="F388" s="1"/>
      <c r="G388" s="8"/>
      <c r="H388" s="1"/>
      <c r="I388" s="1"/>
      <c r="J388" s="1"/>
      <c r="K388" s="1"/>
      <c r="L388" s="1"/>
      <c r="M388" s="3"/>
      <c r="N388" s="3"/>
      <c r="O388" s="3"/>
      <c r="P388" s="3"/>
      <c r="Q388" s="3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4"/>
      <c r="AG388" s="4"/>
      <c r="AJ388" s="11"/>
      <c r="AM388" s="11"/>
      <c r="AN388" s="6"/>
      <c r="AR388"/>
      <c r="AS388"/>
      <c r="AT388"/>
    </row>
    <row r="389" spans="1:46" x14ac:dyDescent="0.25">
      <c r="A389" s="1"/>
      <c r="B389" s="1"/>
      <c r="C389" s="1"/>
      <c r="D389" s="1"/>
      <c r="E389" s="1"/>
      <c r="F389" s="1"/>
      <c r="G389" s="8"/>
      <c r="H389" s="1"/>
      <c r="I389" s="1"/>
      <c r="J389" s="1"/>
      <c r="K389" s="1"/>
      <c r="L389" s="1"/>
      <c r="M389" s="3"/>
      <c r="N389" s="3"/>
      <c r="O389" s="3"/>
      <c r="P389" s="3"/>
      <c r="Q389" s="3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4"/>
      <c r="AG389" s="4"/>
      <c r="AJ389" s="11"/>
      <c r="AM389" s="11"/>
      <c r="AN389" s="6"/>
      <c r="AR389"/>
      <c r="AS389"/>
      <c r="AT389"/>
    </row>
    <row r="390" spans="1:46" x14ac:dyDescent="0.25">
      <c r="A390" s="1"/>
      <c r="B390" s="1"/>
      <c r="C390" s="1"/>
      <c r="D390" s="1"/>
      <c r="E390" s="1"/>
      <c r="F390" s="1"/>
      <c r="G390" s="8"/>
      <c r="H390" s="1"/>
      <c r="I390" s="1"/>
      <c r="J390" s="1"/>
      <c r="K390" s="1"/>
      <c r="L390" s="1"/>
      <c r="M390" s="3"/>
      <c r="N390" s="3"/>
      <c r="O390" s="3"/>
      <c r="P390" s="3"/>
      <c r="Q390" s="3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4"/>
      <c r="AG390" s="4"/>
      <c r="AJ390" s="11"/>
      <c r="AM390" s="11"/>
      <c r="AN390" s="6"/>
      <c r="AR390"/>
      <c r="AS390"/>
      <c r="AT390"/>
    </row>
    <row r="391" spans="1:46" x14ac:dyDescent="0.25">
      <c r="A391" s="1"/>
      <c r="B391" s="1"/>
      <c r="C391" s="1"/>
      <c r="D391" s="1"/>
      <c r="E391" s="1"/>
      <c r="F391" s="1"/>
      <c r="G391" s="8"/>
      <c r="H391" s="1"/>
      <c r="I391" s="1"/>
      <c r="J391" s="1"/>
      <c r="K391" s="1"/>
      <c r="L391" s="1"/>
      <c r="M391" s="3"/>
      <c r="N391" s="3"/>
      <c r="O391" s="3"/>
      <c r="P391" s="3"/>
      <c r="Q391" s="3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4"/>
      <c r="AG391" s="4"/>
      <c r="AJ391" s="11"/>
      <c r="AM391" s="11"/>
      <c r="AN391" s="6"/>
      <c r="AR391"/>
      <c r="AS391"/>
      <c r="AT391"/>
    </row>
    <row r="392" spans="1:46" x14ac:dyDescent="0.25">
      <c r="A392" s="1"/>
      <c r="B392" s="1"/>
      <c r="C392" s="1"/>
      <c r="D392" s="1"/>
      <c r="E392" s="1"/>
      <c r="F392" s="1"/>
      <c r="G392" s="8"/>
      <c r="H392" s="1"/>
      <c r="I392" s="1"/>
      <c r="J392" s="1"/>
      <c r="K392" s="1"/>
      <c r="L392" s="1"/>
      <c r="M392" s="3"/>
      <c r="N392" s="3"/>
      <c r="O392" s="3"/>
      <c r="P392" s="3"/>
      <c r="Q392" s="3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4"/>
      <c r="AG392" s="4"/>
      <c r="AJ392" s="11"/>
      <c r="AM392" s="11"/>
      <c r="AN392" s="6"/>
      <c r="AR392"/>
      <c r="AS392"/>
      <c r="AT392"/>
    </row>
    <row r="393" spans="1:46" x14ac:dyDescent="0.25">
      <c r="A393" s="1"/>
      <c r="B393" s="1"/>
      <c r="C393" s="1"/>
      <c r="D393" s="1"/>
      <c r="E393" s="1"/>
      <c r="F393" s="1"/>
      <c r="G393" s="8"/>
      <c r="H393" s="1"/>
      <c r="I393" s="1"/>
      <c r="J393" s="1"/>
      <c r="K393" s="1"/>
      <c r="L393" s="1"/>
      <c r="M393" s="3"/>
      <c r="N393" s="3"/>
      <c r="O393" s="3"/>
      <c r="P393" s="3"/>
      <c r="Q393" s="3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4"/>
      <c r="AG393" s="4"/>
      <c r="AJ393" s="11"/>
      <c r="AM393" s="11"/>
      <c r="AN393" s="6"/>
      <c r="AR393"/>
      <c r="AS393"/>
      <c r="AT393"/>
    </row>
    <row r="394" spans="1:46" x14ac:dyDescent="0.25">
      <c r="A394" s="1"/>
      <c r="B394" s="1"/>
      <c r="C394" s="1"/>
      <c r="D394" s="1"/>
      <c r="E394" s="1"/>
      <c r="F394" s="1"/>
      <c r="G394" s="8"/>
      <c r="H394" s="1"/>
      <c r="I394" s="1"/>
      <c r="J394" s="1"/>
      <c r="K394" s="1"/>
      <c r="L394" s="1"/>
      <c r="M394" s="3"/>
      <c r="N394" s="3"/>
      <c r="O394" s="3"/>
      <c r="P394" s="3"/>
      <c r="Q394" s="3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4"/>
      <c r="AG394" s="4"/>
      <c r="AJ394" s="11"/>
      <c r="AM394" s="11"/>
      <c r="AN394" s="6"/>
      <c r="AR394"/>
      <c r="AS394"/>
      <c r="AT394"/>
    </row>
    <row r="395" spans="1:46" x14ac:dyDescent="0.25">
      <c r="A395" s="1"/>
      <c r="B395" s="1"/>
      <c r="C395" s="1"/>
      <c r="D395" s="1"/>
      <c r="E395" s="1"/>
      <c r="F395" s="1"/>
      <c r="G395" s="8"/>
      <c r="H395" s="1"/>
      <c r="I395" s="1"/>
      <c r="J395" s="1"/>
      <c r="K395" s="1"/>
      <c r="L395" s="1"/>
      <c r="M395" s="3"/>
      <c r="N395" s="3"/>
      <c r="O395" s="3"/>
      <c r="P395" s="3"/>
      <c r="Q395" s="3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4"/>
      <c r="AG395" s="4"/>
      <c r="AJ395" s="11"/>
      <c r="AM395" s="11"/>
      <c r="AN395" s="6"/>
      <c r="AR395"/>
      <c r="AS395"/>
      <c r="AT395"/>
    </row>
    <row r="396" spans="1:46" x14ac:dyDescent="0.25">
      <c r="A396" s="1"/>
      <c r="B396" s="1"/>
      <c r="C396" s="1"/>
      <c r="D396" s="1"/>
      <c r="E396" s="1"/>
      <c r="F396" s="1"/>
      <c r="G396" s="8"/>
      <c r="H396" s="1"/>
      <c r="I396" s="1"/>
      <c r="J396" s="1"/>
      <c r="K396" s="1"/>
      <c r="L396" s="1"/>
      <c r="M396" s="3"/>
      <c r="N396" s="3"/>
      <c r="O396" s="3"/>
      <c r="P396" s="3"/>
      <c r="Q396" s="3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H396" s="4"/>
      <c r="AI396" s="4"/>
      <c r="AJ396" s="11"/>
      <c r="AK396" s="11"/>
      <c r="AL396" s="10"/>
      <c r="AM396" s="11"/>
      <c r="AN396" s="6"/>
      <c r="AR396"/>
      <c r="AS396"/>
      <c r="AT396"/>
    </row>
    <row r="397" spans="1:46" x14ac:dyDescent="0.25">
      <c r="A397" s="1"/>
      <c r="B397" s="1"/>
      <c r="C397" s="1"/>
      <c r="D397" s="1"/>
      <c r="E397" s="1"/>
      <c r="F397" s="1"/>
      <c r="G397" s="8"/>
      <c r="H397" s="1"/>
      <c r="I397" s="1"/>
      <c r="J397" s="1"/>
      <c r="K397" s="1"/>
      <c r="L397" s="1"/>
      <c r="M397" s="3"/>
      <c r="N397" s="3"/>
      <c r="O397" s="3"/>
      <c r="P397" s="3"/>
      <c r="Q397" s="3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H397" s="4"/>
      <c r="AI397" s="4"/>
      <c r="AJ397" s="11"/>
      <c r="AK397" s="11"/>
      <c r="AL397" s="10"/>
      <c r="AM397" s="11"/>
      <c r="AN397" s="6"/>
      <c r="AR397"/>
      <c r="AS397"/>
      <c r="AT397"/>
    </row>
    <row r="398" spans="1:46" x14ac:dyDescent="0.25">
      <c r="A398" s="1"/>
      <c r="B398" s="1"/>
      <c r="C398" s="1"/>
      <c r="D398" s="1"/>
      <c r="E398" s="1"/>
      <c r="F398" s="1"/>
      <c r="G398" s="8"/>
      <c r="H398" s="1"/>
      <c r="I398" s="1"/>
      <c r="J398" s="1"/>
      <c r="K398" s="1"/>
      <c r="L398" s="1"/>
      <c r="M398" s="3"/>
      <c r="N398" s="3"/>
      <c r="O398" s="3"/>
      <c r="P398" s="3"/>
      <c r="Q398" s="3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H398" s="4"/>
      <c r="AI398" s="4"/>
      <c r="AJ398" s="11"/>
      <c r="AK398" s="11"/>
      <c r="AL398" s="10"/>
      <c r="AM398" s="11"/>
      <c r="AN398" s="6"/>
      <c r="AR398"/>
      <c r="AS398"/>
      <c r="AT398"/>
    </row>
    <row r="399" spans="1:46" x14ac:dyDescent="0.25">
      <c r="A399" s="1"/>
      <c r="B399" s="1"/>
      <c r="C399" s="1"/>
      <c r="D399" s="1"/>
      <c r="E399" s="1"/>
      <c r="F399" s="1"/>
      <c r="G399" s="8"/>
      <c r="H399" s="1"/>
      <c r="I399" s="1"/>
      <c r="J399" s="1"/>
      <c r="K399" s="1"/>
      <c r="L399" s="1"/>
      <c r="M399" s="3"/>
      <c r="N399" s="3"/>
      <c r="O399" s="3"/>
      <c r="P399" s="3"/>
      <c r="Q399" s="3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H399" s="4"/>
      <c r="AI399" s="4"/>
      <c r="AJ399" s="11"/>
      <c r="AK399" s="11"/>
      <c r="AL399" s="10"/>
      <c r="AM399" s="11"/>
      <c r="AN399" s="6"/>
      <c r="AR399"/>
      <c r="AS399"/>
      <c r="AT399"/>
    </row>
    <row r="400" spans="1:46" x14ac:dyDescent="0.25">
      <c r="AR400"/>
      <c r="AS400"/>
      <c r="AT400"/>
    </row>
    <row r="401" spans="44:46" x14ac:dyDescent="0.25">
      <c r="AR401"/>
      <c r="AS401"/>
      <c r="AT401"/>
    </row>
    <row r="402" spans="44:46" x14ac:dyDescent="0.25">
      <c r="AR402"/>
      <c r="AS402"/>
      <c r="AT402"/>
    </row>
    <row r="403" spans="44:46" x14ac:dyDescent="0.25">
      <c r="AR403"/>
      <c r="AS403"/>
      <c r="AT403"/>
    </row>
    <row r="404" spans="44:46" x14ac:dyDescent="0.25">
      <c r="AR404"/>
      <c r="AS404"/>
      <c r="AT404"/>
    </row>
    <row r="405" spans="44:46" x14ac:dyDescent="0.25">
      <c r="AR405"/>
      <c r="AS405"/>
      <c r="AT405"/>
    </row>
    <row r="406" spans="44:46" x14ac:dyDescent="0.25">
      <c r="AR406"/>
      <c r="AS406"/>
      <c r="AT406"/>
    </row>
    <row r="407" spans="44:46" x14ac:dyDescent="0.25">
      <c r="AR407"/>
      <c r="AS407"/>
      <c r="AT407"/>
    </row>
    <row r="408" spans="44:46" x14ac:dyDescent="0.25">
      <c r="AR408"/>
      <c r="AS408"/>
      <c r="AT408"/>
    </row>
    <row r="409" spans="44:46" x14ac:dyDescent="0.25">
      <c r="AR409"/>
      <c r="AS409"/>
      <c r="AT409"/>
    </row>
    <row r="410" spans="44:46" x14ac:dyDescent="0.25">
      <c r="AR410"/>
      <c r="AS410"/>
      <c r="AT410"/>
    </row>
    <row r="411" spans="44:46" x14ac:dyDescent="0.25">
      <c r="AR411"/>
      <c r="AS411"/>
      <c r="AT411"/>
    </row>
    <row r="412" spans="44:46" x14ac:dyDescent="0.25">
      <c r="AR412"/>
      <c r="AS412"/>
      <c r="AT412"/>
    </row>
    <row r="413" spans="44:46" x14ac:dyDescent="0.25">
      <c r="AR413"/>
      <c r="AS413"/>
      <c r="AT413"/>
    </row>
    <row r="414" spans="44:46" x14ac:dyDescent="0.25">
      <c r="AR414"/>
      <c r="AS414"/>
      <c r="AT414"/>
    </row>
    <row r="415" spans="44:46" x14ac:dyDescent="0.25">
      <c r="AR415"/>
      <c r="AS415"/>
      <c r="AT415"/>
    </row>
    <row r="416" spans="44:46" x14ac:dyDescent="0.25">
      <c r="AR416"/>
      <c r="AS416"/>
      <c r="AT416"/>
    </row>
    <row r="417" spans="44:46" x14ac:dyDescent="0.25">
      <c r="AR417"/>
      <c r="AS417"/>
      <c r="AT417"/>
    </row>
    <row r="418" spans="44:46" x14ac:dyDescent="0.25">
      <c r="AR418"/>
      <c r="AS418"/>
      <c r="AT418"/>
    </row>
    <row r="419" spans="44:46" x14ac:dyDescent="0.25">
      <c r="AR419"/>
      <c r="AS419"/>
      <c r="AT419"/>
    </row>
    <row r="420" spans="44:46" x14ac:dyDescent="0.25">
      <c r="AR420"/>
      <c r="AS420"/>
      <c r="AT420"/>
    </row>
    <row r="421" spans="44:46" x14ac:dyDescent="0.25">
      <c r="AR421"/>
      <c r="AS421"/>
      <c r="AT421"/>
    </row>
    <row r="422" spans="44:46" x14ac:dyDescent="0.25">
      <c r="AR422"/>
      <c r="AS422"/>
      <c r="AT422"/>
    </row>
    <row r="423" spans="44:46" x14ac:dyDescent="0.25">
      <c r="AR423"/>
      <c r="AS423"/>
      <c r="AT423"/>
    </row>
    <row r="424" spans="44:46" x14ac:dyDescent="0.25">
      <c r="AR424"/>
      <c r="AS424"/>
      <c r="AT424"/>
    </row>
    <row r="425" spans="44:46" x14ac:dyDescent="0.25">
      <c r="AR425"/>
      <c r="AS425"/>
      <c r="AT425"/>
    </row>
    <row r="426" spans="44:46" x14ac:dyDescent="0.25">
      <c r="AR426"/>
      <c r="AS426"/>
      <c r="AT426"/>
    </row>
    <row r="427" spans="44:46" x14ac:dyDescent="0.25">
      <c r="AR427"/>
      <c r="AS427"/>
      <c r="AT427"/>
    </row>
    <row r="428" spans="44:46" x14ac:dyDescent="0.25">
      <c r="AR428"/>
      <c r="AS428"/>
      <c r="AT428"/>
    </row>
    <row r="429" spans="44:46" x14ac:dyDescent="0.25">
      <c r="AR429"/>
      <c r="AS429"/>
      <c r="AT429"/>
    </row>
    <row r="430" spans="44:46" x14ac:dyDescent="0.25">
      <c r="AS430"/>
      <c r="AT430"/>
    </row>
    <row r="431" spans="44:46" x14ac:dyDescent="0.25">
      <c r="AS431"/>
      <c r="AT431"/>
    </row>
    <row r="432" spans="44:46" x14ac:dyDescent="0.25">
      <c r="AS432"/>
      <c r="AT432"/>
    </row>
    <row r="433" spans="45:46" x14ac:dyDescent="0.25">
      <c r="AS433"/>
      <c r="AT433"/>
    </row>
    <row r="434" spans="45:46" x14ac:dyDescent="0.25">
      <c r="AS434"/>
      <c r="AT434"/>
    </row>
    <row r="435" spans="45:46" x14ac:dyDescent="0.25">
      <c r="AS435"/>
      <c r="AT435"/>
    </row>
    <row r="436" spans="45:46" x14ac:dyDescent="0.25">
      <c r="AS436"/>
      <c r="AT436"/>
    </row>
    <row r="437" spans="45:46" x14ac:dyDescent="0.25">
      <c r="AS437"/>
      <c r="AT437"/>
    </row>
    <row r="438" spans="45:46" x14ac:dyDescent="0.25">
      <c r="AS438"/>
      <c r="AT438"/>
    </row>
    <row r="439" spans="45:46" x14ac:dyDescent="0.25">
      <c r="AS439"/>
      <c r="AT439"/>
    </row>
    <row r="440" spans="45:46" x14ac:dyDescent="0.25">
      <c r="AS440"/>
      <c r="AT440"/>
    </row>
    <row r="441" spans="45:46" x14ac:dyDescent="0.25">
      <c r="AS441"/>
      <c r="AT441"/>
    </row>
    <row r="442" spans="45:46" x14ac:dyDescent="0.25">
      <c r="AS442"/>
      <c r="AT442"/>
    </row>
    <row r="443" spans="45:46" x14ac:dyDescent="0.25">
      <c r="AS443"/>
      <c r="AT443"/>
    </row>
    <row r="444" spans="45:46" x14ac:dyDescent="0.25">
      <c r="AS444"/>
      <c r="AT444"/>
    </row>
    <row r="445" spans="45:46" x14ac:dyDescent="0.25">
      <c r="AS445"/>
      <c r="AT445"/>
    </row>
    <row r="446" spans="45:46" x14ac:dyDescent="0.25">
      <c r="AS446"/>
      <c r="AT446"/>
    </row>
    <row r="447" spans="45:46" x14ac:dyDescent="0.25">
      <c r="AS447"/>
      <c r="AT447"/>
    </row>
    <row r="448" spans="45:46" x14ac:dyDescent="0.25">
      <c r="AS448"/>
      <c r="AT448"/>
    </row>
    <row r="449" spans="45:46" x14ac:dyDescent="0.25">
      <c r="AS449"/>
      <c r="AT449"/>
    </row>
    <row r="450" spans="45:46" x14ac:dyDescent="0.25">
      <c r="AS450"/>
      <c r="AT450"/>
    </row>
    <row r="451" spans="45:46" x14ac:dyDescent="0.25">
      <c r="AS451"/>
      <c r="AT451"/>
    </row>
    <row r="452" spans="45:46" x14ac:dyDescent="0.25">
      <c r="AS452"/>
      <c r="AT452"/>
    </row>
    <row r="453" spans="45:46" x14ac:dyDescent="0.25">
      <c r="AS453"/>
      <c r="AT453"/>
    </row>
    <row r="454" spans="45:46" x14ac:dyDescent="0.25">
      <c r="AS454"/>
      <c r="AT454"/>
    </row>
    <row r="455" spans="45:46" x14ac:dyDescent="0.25">
      <c r="AS455"/>
      <c r="AT455"/>
    </row>
    <row r="456" spans="45:46" x14ac:dyDescent="0.25">
      <c r="AS456"/>
      <c r="AT456"/>
    </row>
    <row r="457" spans="45:46" x14ac:dyDescent="0.25">
      <c r="AS457"/>
      <c r="AT457"/>
    </row>
    <row r="458" spans="45:46" x14ac:dyDescent="0.25">
      <c r="AS458"/>
      <c r="AT458"/>
    </row>
    <row r="459" spans="45:46" x14ac:dyDescent="0.25">
      <c r="AS459"/>
      <c r="AT459"/>
    </row>
    <row r="460" spans="45:46" x14ac:dyDescent="0.25">
      <c r="AS460"/>
      <c r="AT460"/>
    </row>
    <row r="461" spans="45:46" x14ac:dyDescent="0.25">
      <c r="AS461"/>
      <c r="AT461"/>
    </row>
    <row r="462" spans="45:46" x14ac:dyDescent="0.25">
      <c r="AS462"/>
      <c r="AT462"/>
    </row>
    <row r="463" spans="45:46" x14ac:dyDescent="0.25">
      <c r="AS463"/>
      <c r="AT463"/>
    </row>
    <row r="464" spans="45:46" x14ac:dyDescent="0.25">
      <c r="AS464"/>
      <c r="AT464"/>
    </row>
    <row r="465" spans="45:46" x14ac:dyDescent="0.25">
      <c r="AS465"/>
      <c r="AT465"/>
    </row>
    <row r="466" spans="45:46" x14ac:dyDescent="0.25">
      <c r="AS466"/>
      <c r="AT466"/>
    </row>
    <row r="467" spans="45:46" x14ac:dyDescent="0.25">
      <c r="AS467"/>
      <c r="AT467"/>
    </row>
    <row r="468" spans="45:46" x14ac:dyDescent="0.25">
      <c r="AS468"/>
      <c r="AT468"/>
    </row>
    <row r="469" spans="45:46" x14ac:dyDescent="0.25">
      <c r="AS469"/>
      <c r="AT469"/>
    </row>
    <row r="470" spans="45:46" x14ac:dyDescent="0.25">
      <c r="AS470"/>
      <c r="AT470"/>
    </row>
    <row r="471" spans="45:46" x14ac:dyDescent="0.25">
      <c r="AS471"/>
      <c r="AT471"/>
    </row>
    <row r="472" spans="45:46" x14ac:dyDescent="0.25">
      <c r="AS472"/>
      <c r="AT472"/>
    </row>
    <row r="473" spans="45:46" x14ac:dyDescent="0.25">
      <c r="AS473"/>
      <c r="AT473"/>
    </row>
    <row r="474" spans="45:46" x14ac:dyDescent="0.25">
      <c r="AS474"/>
      <c r="AT474"/>
    </row>
    <row r="475" spans="45:46" x14ac:dyDescent="0.25">
      <c r="AS475"/>
      <c r="AT475"/>
    </row>
    <row r="476" spans="45:46" x14ac:dyDescent="0.25">
      <c r="AS476"/>
      <c r="AT476"/>
    </row>
    <row r="477" spans="45:46" x14ac:dyDescent="0.25">
      <c r="AS477"/>
      <c r="AT477"/>
    </row>
    <row r="478" spans="45:46" x14ac:dyDescent="0.25">
      <c r="AS478"/>
      <c r="AT478"/>
    </row>
    <row r="479" spans="45:46" x14ac:dyDescent="0.25">
      <c r="AS479"/>
      <c r="AT479"/>
    </row>
    <row r="480" spans="45:46" x14ac:dyDescent="0.25">
      <c r="AS480"/>
      <c r="AT480"/>
    </row>
    <row r="481" spans="45:46" x14ac:dyDescent="0.25">
      <c r="AS481"/>
      <c r="AT481"/>
    </row>
    <row r="482" spans="45:46" x14ac:dyDescent="0.25">
      <c r="AS482"/>
      <c r="AT482"/>
    </row>
    <row r="483" spans="45:46" x14ac:dyDescent="0.25">
      <c r="AS483"/>
      <c r="AT483"/>
    </row>
    <row r="484" spans="45:46" x14ac:dyDescent="0.25">
      <c r="AS484"/>
      <c r="AT484"/>
    </row>
    <row r="485" spans="45:46" x14ac:dyDescent="0.25">
      <c r="AS485"/>
      <c r="AT485"/>
    </row>
    <row r="486" spans="45:46" x14ac:dyDescent="0.25">
      <c r="AS486"/>
      <c r="AT486"/>
    </row>
    <row r="487" spans="45:46" x14ac:dyDescent="0.25">
      <c r="AS487"/>
      <c r="AT487"/>
    </row>
    <row r="488" spans="45:46" x14ac:dyDescent="0.25">
      <c r="AS488"/>
      <c r="AT488"/>
    </row>
    <row r="489" spans="45:46" x14ac:dyDescent="0.25">
      <c r="AS489"/>
      <c r="AT489"/>
    </row>
    <row r="490" spans="45:46" x14ac:dyDescent="0.25">
      <c r="AS490"/>
      <c r="AT490"/>
    </row>
    <row r="491" spans="45:46" x14ac:dyDescent="0.25">
      <c r="AS491"/>
      <c r="AT491"/>
    </row>
    <row r="492" spans="45:46" x14ac:dyDescent="0.25">
      <c r="AS492"/>
      <c r="AT492"/>
    </row>
    <row r="493" spans="45:46" x14ac:dyDescent="0.25">
      <c r="AS493"/>
      <c r="AT493"/>
    </row>
    <row r="494" spans="45:46" x14ac:dyDescent="0.25">
      <c r="AS494"/>
      <c r="AT494"/>
    </row>
    <row r="495" spans="45:46" x14ac:dyDescent="0.25">
      <c r="AS495"/>
      <c r="AT495"/>
    </row>
    <row r="496" spans="45:46" x14ac:dyDescent="0.25">
      <c r="AS496"/>
      <c r="AT496"/>
    </row>
    <row r="497" spans="45:46" x14ac:dyDescent="0.25">
      <c r="AS497"/>
      <c r="AT497"/>
    </row>
    <row r="498" spans="45:46" x14ac:dyDescent="0.25">
      <c r="AS498"/>
      <c r="AT498"/>
    </row>
    <row r="499" spans="45:46" x14ac:dyDescent="0.25">
      <c r="AS499"/>
      <c r="AT499"/>
    </row>
    <row r="500" spans="45:46" x14ac:dyDescent="0.25">
      <c r="AS500"/>
      <c r="AT500"/>
    </row>
    <row r="501" spans="45:46" x14ac:dyDescent="0.25">
      <c r="AS501"/>
      <c r="AT501"/>
    </row>
    <row r="502" spans="45:46" x14ac:dyDescent="0.25">
      <c r="AS502"/>
      <c r="AT502"/>
    </row>
    <row r="503" spans="45:46" x14ac:dyDescent="0.25">
      <c r="AS503"/>
      <c r="AT503"/>
    </row>
    <row r="504" spans="45:46" x14ac:dyDescent="0.25">
      <c r="AS504"/>
      <c r="AT504"/>
    </row>
    <row r="505" spans="45:46" x14ac:dyDescent="0.25">
      <c r="AS505"/>
      <c r="AT505"/>
    </row>
    <row r="506" spans="45:46" x14ac:dyDescent="0.25">
      <c r="AS506"/>
      <c r="AT506"/>
    </row>
    <row r="507" spans="45:46" x14ac:dyDescent="0.25">
      <c r="AS507"/>
      <c r="AT507"/>
    </row>
    <row r="508" spans="45:46" x14ac:dyDescent="0.25">
      <c r="AS508"/>
      <c r="AT508"/>
    </row>
    <row r="509" spans="45:46" x14ac:dyDescent="0.25">
      <c r="AS509"/>
      <c r="AT509"/>
    </row>
    <row r="510" spans="45:46" x14ac:dyDescent="0.25">
      <c r="AS510"/>
      <c r="AT510"/>
    </row>
    <row r="511" spans="45:46" x14ac:dyDescent="0.25">
      <c r="AS511"/>
      <c r="AT511"/>
    </row>
    <row r="512" spans="45:46" x14ac:dyDescent="0.25">
      <c r="AS512"/>
      <c r="AT512"/>
    </row>
    <row r="513" spans="45:46" x14ac:dyDescent="0.25">
      <c r="AS513"/>
      <c r="AT513"/>
    </row>
    <row r="514" spans="45:46" x14ac:dyDescent="0.25">
      <c r="AS514"/>
      <c r="AT514"/>
    </row>
    <row r="515" spans="45:46" x14ac:dyDescent="0.25">
      <c r="AS515"/>
      <c r="AT515"/>
    </row>
    <row r="516" spans="45:46" x14ac:dyDescent="0.25">
      <c r="AS516"/>
      <c r="AT516"/>
    </row>
    <row r="517" spans="45:46" x14ac:dyDescent="0.25">
      <c r="AS517"/>
      <c r="AT517"/>
    </row>
    <row r="518" spans="45:46" x14ac:dyDescent="0.25">
      <c r="AS518"/>
      <c r="AT518"/>
    </row>
    <row r="519" spans="45:46" x14ac:dyDescent="0.25">
      <c r="AS519"/>
      <c r="AT519"/>
    </row>
    <row r="520" spans="45:46" x14ac:dyDescent="0.25">
      <c r="AS520"/>
      <c r="AT520"/>
    </row>
    <row r="521" spans="45:46" x14ac:dyDescent="0.25">
      <c r="AS521"/>
      <c r="AT521"/>
    </row>
    <row r="522" spans="45:46" x14ac:dyDescent="0.25">
      <c r="AS522"/>
      <c r="AT522"/>
    </row>
    <row r="523" spans="45:46" x14ac:dyDescent="0.25">
      <c r="AS523"/>
      <c r="AT523"/>
    </row>
    <row r="524" spans="45:46" x14ac:dyDescent="0.25">
      <c r="AS524"/>
      <c r="AT524"/>
    </row>
    <row r="525" spans="45:46" x14ac:dyDescent="0.25">
      <c r="AS525"/>
      <c r="AT525"/>
    </row>
    <row r="526" spans="45:46" x14ac:dyDescent="0.25">
      <c r="AS526"/>
      <c r="AT526"/>
    </row>
    <row r="527" spans="45:46" x14ac:dyDescent="0.25">
      <c r="AS527"/>
      <c r="AT527"/>
    </row>
    <row r="528" spans="45:46" x14ac:dyDescent="0.25">
      <c r="AS528"/>
      <c r="AT528"/>
    </row>
    <row r="529" spans="45:46" x14ac:dyDescent="0.25">
      <c r="AS529"/>
      <c r="AT529"/>
    </row>
    <row r="530" spans="45:46" x14ac:dyDescent="0.25">
      <c r="AS530"/>
      <c r="AT530"/>
    </row>
    <row r="531" spans="45:46" x14ac:dyDescent="0.25">
      <c r="AS531"/>
      <c r="AT531"/>
    </row>
    <row r="532" spans="45:46" x14ac:dyDescent="0.25">
      <c r="AS532"/>
      <c r="AT532"/>
    </row>
    <row r="533" spans="45:46" x14ac:dyDescent="0.25">
      <c r="AS533"/>
      <c r="AT533"/>
    </row>
    <row r="534" spans="45:46" x14ac:dyDescent="0.25">
      <c r="AS534"/>
      <c r="AT534"/>
    </row>
    <row r="535" spans="45:46" x14ac:dyDescent="0.25">
      <c r="AS535"/>
      <c r="AT535"/>
    </row>
    <row r="536" spans="45:46" x14ac:dyDescent="0.25">
      <c r="AS536"/>
      <c r="AT536"/>
    </row>
    <row r="537" spans="45:46" x14ac:dyDescent="0.25">
      <c r="AS537"/>
      <c r="AT537"/>
    </row>
    <row r="538" spans="45:46" x14ac:dyDescent="0.25">
      <c r="AS538"/>
      <c r="AT538"/>
    </row>
    <row r="539" spans="45:46" x14ac:dyDescent="0.25">
      <c r="AS539"/>
      <c r="AT539"/>
    </row>
    <row r="540" spans="45:46" x14ac:dyDescent="0.25">
      <c r="AS540"/>
      <c r="AT540"/>
    </row>
    <row r="541" spans="45:46" x14ac:dyDescent="0.25">
      <c r="AS541"/>
      <c r="AT541"/>
    </row>
    <row r="542" spans="45:46" x14ac:dyDescent="0.25">
      <c r="AS542"/>
      <c r="AT542"/>
    </row>
    <row r="543" spans="45:46" x14ac:dyDescent="0.25">
      <c r="AS543"/>
      <c r="AT543"/>
    </row>
    <row r="544" spans="45:46" x14ac:dyDescent="0.25">
      <c r="AS544"/>
      <c r="AT544"/>
    </row>
    <row r="545" spans="45:46" x14ac:dyDescent="0.25">
      <c r="AS545"/>
      <c r="AT545"/>
    </row>
    <row r="546" spans="45:46" x14ac:dyDescent="0.25">
      <c r="AS546"/>
      <c r="AT546"/>
    </row>
    <row r="547" spans="45:46" x14ac:dyDescent="0.25">
      <c r="AS547"/>
      <c r="AT547"/>
    </row>
    <row r="548" spans="45:46" x14ac:dyDescent="0.25">
      <c r="AS548"/>
      <c r="AT548"/>
    </row>
    <row r="549" spans="45:46" x14ac:dyDescent="0.25">
      <c r="AS549"/>
      <c r="AT549"/>
    </row>
    <row r="550" spans="45:46" x14ac:dyDescent="0.25">
      <c r="AS550"/>
      <c r="AT550"/>
    </row>
    <row r="551" spans="45:46" x14ac:dyDescent="0.25">
      <c r="AS551"/>
      <c r="AT551"/>
    </row>
    <row r="552" spans="45:46" x14ac:dyDescent="0.25">
      <c r="AS552"/>
      <c r="AT552"/>
    </row>
    <row r="553" spans="45:46" x14ac:dyDescent="0.25">
      <c r="AS553"/>
      <c r="AT553"/>
    </row>
    <row r="554" spans="45:46" x14ac:dyDescent="0.25">
      <c r="AS554"/>
      <c r="AT554"/>
    </row>
    <row r="555" spans="45:46" x14ac:dyDescent="0.25">
      <c r="AS555"/>
      <c r="AT555"/>
    </row>
    <row r="556" spans="45:46" x14ac:dyDescent="0.25">
      <c r="AS556"/>
      <c r="AT556"/>
    </row>
    <row r="557" spans="45:46" x14ac:dyDescent="0.25">
      <c r="AS557"/>
      <c r="AT557"/>
    </row>
    <row r="558" spans="45:46" x14ac:dyDescent="0.25">
      <c r="AS558"/>
      <c r="AT558"/>
    </row>
    <row r="559" spans="45:46" x14ac:dyDescent="0.25">
      <c r="AS559"/>
      <c r="AT559"/>
    </row>
    <row r="560" spans="45:46" x14ac:dyDescent="0.25">
      <c r="AS560"/>
      <c r="AT560"/>
    </row>
    <row r="561" spans="45:46" x14ac:dyDescent="0.25">
      <c r="AS561"/>
      <c r="AT561"/>
    </row>
    <row r="562" spans="45:46" x14ac:dyDescent="0.25">
      <c r="AS562"/>
      <c r="AT562"/>
    </row>
    <row r="563" spans="45:46" x14ac:dyDescent="0.25">
      <c r="AS563"/>
      <c r="AT563"/>
    </row>
    <row r="564" spans="45:46" x14ac:dyDescent="0.25">
      <c r="AS564"/>
      <c r="AT564"/>
    </row>
    <row r="565" spans="45:46" x14ac:dyDescent="0.25">
      <c r="AS565"/>
      <c r="AT565"/>
    </row>
    <row r="566" spans="45:46" x14ac:dyDescent="0.25">
      <c r="AS566"/>
      <c r="AT566"/>
    </row>
    <row r="567" spans="45:46" x14ac:dyDescent="0.25">
      <c r="AS567"/>
      <c r="AT567"/>
    </row>
    <row r="568" spans="45:46" x14ac:dyDescent="0.25">
      <c r="AS568"/>
      <c r="AT568"/>
    </row>
    <row r="569" spans="45:46" x14ac:dyDescent="0.25">
      <c r="AS569"/>
      <c r="AT569"/>
    </row>
    <row r="570" spans="45:46" x14ac:dyDescent="0.25">
      <c r="AS570"/>
      <c r="AT570"/>
    </row>
    <row r="571" spans="45:46" x14ac:dyDescent="0.25">
      <c r="AS571"/>
      <c r="AT571"/>
    </row>
    <row r="572" spans="45:46" x14ac:dyDescent="0.25">
      <c r="AS572"/>
      <c r="AT572"/>
    </row>
    <row r="573" spans="45:46" x14ac:dyDescent="0.25">
      <c r="AS573"/>
      <c r="AT573"/>
    </row>
    <row r="574" spans="45:46" x14ac:dyDescent="0.25">
      <c r="AS574"/>
      <c r="AT574"/>
    </row>
    <row r="575" spans="45:46" x14ac:dyDescent="0.25">
      <c r="AS575"/>
      <c r="AT575"/>
    </row>
    <row r="576" spans="45:46" x14ac:dyDescent="0.25">
      <c r="AS576"/>
      <c r="AT576"/>
    </row>
    <row r="577" spans="45:46" x14ac:dyDescent="0.25">
      <c r="AS577"/>
      <c r="AT577"/>
    </row>
    <row r="578" spans="45:46" x14ac:dyDescent="0.25">
      <c r="AS578"/>
      <c r="AT578"/>
    </row>
    <row r="579" spans="45:46" x14ac:dyDescent="0.25">
      <c r="AS579"/>
      <c r="AT579"/>
    </row>
    <row r="580" spans="45:46" x14ac:dyDescent="0.25">
      <c r="AS580"/>
      <c r="AT580"/>
    </row>
    <row r="581" spans="45:46" x14ac:dyDescent="0.25">
      <c r="AS581"/>
      <c r="AT581"/>
    </row>
    <row r="582" spans="45:46" x14ac:dyDescent="0.25">
      <c r="AS582"/>
      <c r="AT582"/>
    </row>
    <row r="583" spans="45:46" x14ac:dyDescent="0.25">
      <c r="AS583"/>
      <c r="AT583"/>
    </row>
    <row r="584" spans="45:46" x14ac:dyDescent="0.25">
      <c r="AS584"/>
      <c r="AT584"/>
    </row>
    <row r="585" spans="45:46" x14ac:dyDescent="0.25">
      <c r="AS585"/>
      <c r="AT585"/>
    </row>
    <row r="586" spans="45:46" x14ac:dyDescent="0.25">
      <c r="AS586"/>
      <c r="AT586"/>
    </row>
    <row r="587" spans="45:46" x14ac:dyDescent="0.25">
      <c r="AS587"/>
      <c r="AT587"/>
    </row>
    <row r="588" spans="45:46" x14ac:dyDescent="0.25">
      <c r="AS588"/>
      <c r="AT588"/>
    </row>
    <row r="589" spans="45:46" x14ac:dyDescent="0.25">
      <c r="AS589"/>
      <c r="AT589"/>
    </row>
    <row r="590" spans="45:46" x14ac:dyDescent="0.25">
      <c r="AS590"/>
      <c r="AT590"/>
    </row>
    <row r="591" spans="45:46" x14ac:dyDescent="0.25">
      <c r="AS591"/>
      <c r="AT591"/>
    </row>
    <row r="592" spans="45:46" x14ac:dyDescent="0.25">
      <c r="AS592"/>
      <c r="AT592"/>
    </row>
    <row r="593" spans="45:46" x14ac:dyDescent="0.25">
      <c r="AS593"/>
      <c r="AT593"/>
    </row>
    <row r="594" spans="45:46" x14ac:dyDescent="0.25">
      <c r="AS594"/>
      <c r="AT594"/>
    </row>
    <row r="595" spans="45:46" x14ac:dyDescent="0.25">
      <c r="AS595"/>
      <c r="AT595"/>
    </row>
    <row r="596" spans="45:46" x14ac:dyDescent="0.25">
      <c r="AS596"/>
      <c r="AT596"/>
    </row>
    <row r="597" spans="45:46" x14ac:dyDescent="0.25">
      <c r="AS597"/>
      <c r="AT597"/>
    </row>
    <row r="598" spans="45:46" x14ac:dyDescent="0.25">
      <c r="AS598"/>
      <c r="AT598"/>
    </row>
    <row r="599" spans="45:46" x14ac:dyDescent="0.25">
      <c r="AS599"/>
      <c r="AT599"/>
    </row>
    <row r="600" spans="45:46" x14ac:dyDescent="0.25">
      <c r="AS600"/>
      <c r="AT600"/>
    </row>
    <row r="601" spans="45:46" x14ac:dyDescent="0.25">
      <c r="AS601"/>
      <c r="AT601"/>
    </row>
    <row r="602" spans="45:46" x14ac:dyDescent="0.25">
      <c r="AS602"/>
      <c r="AT602"/>
    </row>
    <row r="603" spans="45:46" x14ac:dyDescent="0.25">
      <c r="AS603"/>
      <c r="AT603"/>
    </row>
    <row r="604" spans="45:46" x14ac:dyDescent="0.25">
      <c r="AS604"/>
      <c r="AT604"/>
    </row>
    <row r="605" spans="45:46" x14ac:dyDescent="0.25">
      <c r="AS605"/>
      <c r="AT605"/>
    </row>
    <row r="606" spans="45:46" x14ac:dyDescent="0.25">
      <c r="AS606"/>
      <c r="AT606"/>
    </row>
    <row r="607" spans="45:46" x14ac:dyDescent="0.25">
      <c r="AS607"/>
      <c r="AT607"/>
    </row>
    <row r="608" spans="45:46" x14ac:dyDescent="0.25">
      <c r="AS608"/>
      <c r="AT608"/>
    </row>
    <row r="609" spans="45:46" x14ac:dyDescent="0.25">
      <c r="AS609"/>
      <c r="AT609"/>
    </row>
    <row r="610" spans="45:46" x14ac:dyDescent="0.25">
      <c r="AS610"/>
      <c r="AT610"/>
    </row>
    <row r="611" spans="45:46" x14ac:dyDescent="0.25">
      <c r="AS611"/>
      <c r="AT611"/>
    </row>
    <row r="612" spans="45:46" x14ac:dyDescent="0.25">
      <c r="AS612"/>
      <c r="AT612"/>
    </row>
    <row r="613" spans="45:46" x14ac:dyDescent="0.25">
      <c r="AS613"/>
      <c r="AT613"/>
    </row>
    <row r="614" spans="45:46" x14ac:dyDescent="0.25">
      <c r="AS614"/>
      <c r="AT614"/>
    </row>
    <row r="615" spans="45:46" x14ac:dyDescent="0.25">
      <c r="AS615"/>
      <c r="AT615"/>
    </row>
    <row r="616" spans="45:46" x14ac:dyDescent="0.25">
      <c r="AS616"/>
      <c r="AT616"/>
    </row>
    <row r="617" spans="45:46" x14ac:dyDescent="0.25">
      <c r="AS617"/>
      <c r="AT617"/>
    </row>
    <row r="618" spans="45:46" x14ac:dyDescent="0.25">
      <c r="AS618"/>
      <c r="AT618"/>
    </row>
    <row r="619" spans="45:46" x14ac:dyDescent="0.25">
      <c r="AS619"/>
      <c r="AT619"/>
    </row>
    <row r="620" spans="45:46" x14ac:dyDescent="0.25">
      <c r="AS620"/>
      <c r="AT620"/>
    </row>
    <row r="621" spans="45:46" x14ac:dyDescent="0.25">
      <c r="AS621"/>
      <c r="AT621"/>
    </row>
    <row r="622" spans="45:46" x14ac:dyDescent="0.25">
      <c r="AS622"/>
      <c r="AT622"/>
    </row>
    <row r="623" spans="45:46" x14ac:dyDescent="0.25">
      <c r="AS623"/>
      <c r="AT623"/>
    </row>
    <row r="624" spans="45:46" x14ac:dyDescent="0.25">
      <c r="AS624"/>
      <c r="AT624"/>
    </row>
    <row r="625" spans="45:46" x14ac:dyDescent="0.25">
      <c r="AS625"/>
      <c r="AT625"/>
    </row>
    <row r="626" spans="45:46" x14ac:dyDescent="0.25">
      <c r="AS626"/>
      <c r="AT626"/>
    </row>
    <row r="627" spans="45:46" x14ac:dyDescent="0.25">
      <c r="AS627"/>
      <c r="AT627"/>
    </row>
    <row r="628" spans="45:46" x14ac:dyDescent="0.25">
      <c r="AS628"/>
      <c r="AT628"/>
    </row>
    <row r="629" spans="45:46" x14ac:dyDescent="0.25">
      <c r="AS629"/>
      <c r="AT629"/>
    </row>
    <row r="630" spans="45:46" x14ac:dyDescent="0.25">
      <c r="AS630"/>
      <c r="AT630"/>
    </row>
    <row r="631" spans="45:46" x14ac:dyDescent="0.25">
      <c r="AS631"/>
      <c r="AT631"/>
    </row>
    <row r="632" spans="45:46" x14ac:dyDescent="0.25">
      <c r="AS632"/>
      <c r="AT632"/>
    </row>
    <row r="633" spans="45:46" x14ac:dyDescent="0.25">
      <c r="AS633"/>
      <c r="AT633"/>
    </row>
    <row r="634" spans="45:46" x14ac:dyDescent="0.25">
      <c r="AS634"/>
      <c r="AT634"/>
    </row>
    <row r="635" spans="45:46" x14ac:dyDescent="0.25">
      <c r="AS635"/>
      <c r="AT635"/>
    </row>
    <row r="636" spans="45:46" x14ac:dyDescent="0.25">
      <c r="AS636"/>
      <c r="AT636"/>
    </row>
    <row r="637" spans="45:46" x14ac:dyDescent="0.25">
      <c r="AS637"/>
      <c r="AT637"/>
    </row>
    <row r="638" spans="45:46" x14ac:dyDescent="0.25">
      <c r="AS638"/>
      <c r="AT638"/>
    </row>
    <row r="639" spans="45:46" x14ac:dyDescent="0.25">
      <c r="AS639"/>
      <c r="AT639"/>
    </row>
    <row r="640" spans="45:46" x14ac:dyDescent="0.25">
      <c r="AS640"/>
      <c r="AT640"/>
    </row>
    <row r="641" spans="45:46" x14ac:dyDescent="0.25">
      <c r="AS641"/>
      <c r="AT641"/>
    </row>
    <row r="642" spans="45:46" x14ac:dyDescent="0.25">
      <c r="AS642"/>
      <c r="AT642"/>
    </row>
    <row r="643" spans="45:46" x14ac:dyDescent="0.25">
      <c r="AS643"/>
      <c r="AT643"/>
    </row>
    <row r="644" spans="45:46" x14ac:dyDescent="0.25">
      <c r="AS644"/>
      <c r="AT644"/>
    </row>
    <row r="645" spans="45:46" x14ac:dyDescent="0.25">
      <c r="AS645"/>
      <c r="AT645"/>
    </row>
    <row r="646" spans="45:46" x14ac:dyDescent="0.25">
      <c r="AS646"/>
      <c r="AT646"/>
    </row>
    <row r="647" spans="45:46" x14ac:dyDescent="0.25">
      <c r="AS647"/>
      <c r="AT647"/>
    </row>
    <row r="648" spans="45:46" x14ac:dyDescent="0.25">
      <c r="AS648"/>
      <c r="AT648"/>
    </row>
    <row r="649" spans="45:46" x14ac:dyDescent="0.25">
      <c r="AS649"/>
      <c r="AT649"/>
    </row>
    <row r="650" spans="45:46" x14ac:dyDescent="0.25">
      <c r="AS650"/>
      <c r="AT650"/>
    </row>
    <row r="651" spans="45:46" x14ac:dyDescent="0.25">
      <c r="AS651"/>
      <c r="AT651"/>
    </row>
    <row r="652" spans="45:46" x14ac:dyDescent="0.25">
      <c r="AS652"/>
      <c r="AT652"/>
    </row>
    <row r="653" spans="45:46" x14ac:dyDescent="0.25">
      <c r="AS653"/>
      <c r="AT653"/>
    </row>
    <row r="654" spans="45:46" x14ac:dyDescent="0.25">
      <c r="AS654"/>
      <c r="AT654"/>
    </row>
    <row r="655" spans="45:46" x14ac:dyDescent="0.25">
      <c r="AS655"/>
      <c r="AT655"/>
    </row>
    <row r="656" spans="45:46" x14ac:dyDescent="0.25">
      <c r="AS656"/>
      <c r="AT656"/>
    </row>
    <row r="657" spans="45:46" x14ac:dyDescent="0.25">
      <c r="AS657"/>
      <c r="AT657"/>
    </row>
    <row r="658" spans="45:46" x14ac:dyDescent="0.25">
      <c r="AS658"/>
      <c r="AT658"/>
    </row>
    <row r="659" spans="45:46" x14ac:dyDescent="0.25">
      <c r="AS659"/>
      <c r="AT659"/>
    </row>
    <row r="660" spans="45:46" x14ac:dyDescent="0.25">
      <c r="AS660"/>
      <c r="AT660"/>
    </row>
    <row r="661" spans="45:46" x14ac:dyDescent="0.25">
      <c r="AS661"/>
      <c r="AT661"/>
    </row>
    <row r="662" spans="45:46" x14ac:dyDescent="0.25">
      <c r="AS662"/>
      <c r="AT662"/>
    </row>
    <row r="663" spans="45:46" x14ac:dyDescent="0.25">
      <c r="AS663"/>
      <c r="AT663"/>
    </row>
    <row r="664" spans="45:46" x14ac:dyDescent="0.25">
      <c r="AS664"/>
      <c r="AT664"/>
    </row>
    <row r="665" spans="45:46" x14ac:dyDescent="0.25">
      <c r="AS665"/>
      <c r="AT665"/>
    </row>
    <row r="666" spans="45:46" x14ac:dyDescent="0.25">
      <c r="AS666"/>
      <c r="AT666"/>
    </row>
    <row r="667" spans="45:46" x14ac:dyDescent="0.25">
      <c r="AS667"/>
      <c r="AT667"/>
    </row>
    <row r="668" spans="45:46" x14ac:dyDescent="0.25">
      <c r="AS668"/>
      <c r="AT668"/>
    </row>
    <row r="669" spans="45:46" x14ac:dyDescent="0.25">
      <c r="AS669"/>
      <c r="AT669"/>
    </row>
    <row r="670" spans="45:46" x14ac:dyDescent="0.25">
      <c r="AS670"/>
      <c r="AT670"/>
    </row>
    <row r="671" spans="45:46" x14ac:dyDescent="0.25">
      <c r="AS671"/>
      <c r="AT671"/>
    </row>
    <row r="672" spans="45:46" x14ac:dyDescent="0.25">
      <c r="AS672"/>
      <c r="AT672"/>
    </row>
    <row r="673" spans="45:46" x14ac:dyDescent="0.25">
      <c r="AS673"/>
      <c r="AT673"/>
    </row>
    <row r="674" spans="45:46" x14ac:dyDescent="0.25">
      <c r="AS674"/>
      <c r="AT674"/>
    </row>
    <row r="675" spans="45:46" x14ac:dyDescent="0.25">
      <c r="AS675"/>
      <c r="AT675"/>
    </row>
    <row r="676" spans="45:46" x14ac:dyDescent="0.25">
      <c r="AS676"/>
      <c r="AT676"/>
    </row>
    <row r="677" spans="45:46" x14ac:dyDescent="0.25">
      <c r="AS677"/>
      <c r="AT677"/>
    </row>
    <row r="678" spans="45:46" x14ac:dyDescent="0.25">
      <c r="AS678"/>
      <c r="AT678"/>
    </row>
    <row r="679" spans="45:46" x14ac:dyDescent="0.25">
      <c r="AS679"/>
      <c r="AT679"/>
    </row>
    <row r="680" spans="45:46" x14ac:dyDescent="0.25">
      <c r="AS680"/>
      <c r="AT680"/>
    </row>
    <row r="681" spans="45:46" x14ac:dyDescent="0.25">
      <c r="AS681"/>
      <c r="AT681"/>
    </row>
    <row r="682" spans="45:46" x14ac:dyDescent="0.25">
      <c r="AS682"/>
      <c r="AT682"/>
    </row>
    <row r="683" spans="45:46" x14ac:dyDescent="0.25">
      <c r="AS683"/>
      <c r="AT683"/>
    </row>
    <row r="684" spans="45:46" x14ac:dyDescent="0.25">
      <c r="AS684"/>
      <c r="AT684"/>
    </row>
    <row r="685" spans="45:46" x14ac:dyDescent="0.25">
      <c r="AS685"/>
      <c r="AT685"/>
    </row>
    <row r="686" spans="45:46" x14ac:dyDescent="0.25">
      <c r="AS686"/>
      <c r="AT686"/>
    </row>
    <row r="687" spans="45:46" x14ac:dyDescent="0.25">
      <c r="AS687"/>
      <c r="AT687"/>
    </row>
    <row r="688" spans="45:46" x14ac:dyDescent="0.25">
      <c r="AS688"/>
      <c r="AT688"/>
    </row>
    <row r="689" spans="45:46" x14ac:dyDescent="0.25">
      <c r="AS689"/>
      <c r="AT689"/>
    </row>
    <row r="690" spans="45:46" x14ac:dyDescent="0.25">
      <c r="AS690"/>
      <c r="AT690"/>
    </row>
    <row r="691" spans="45:46" x14ac:dyDescent="0.25">
      <c r="AS691"/>
      <c r="AT691"/>
    </row>
    <row r="692" spans="45:46" x14ac:dyDescent="0.25">
      <c r="AS692"/>
      <c r="AT692"/>
    </row>
    <row r="693" spans="45:46" x14ac:dyDescent="0.25">
      <c r="AS693"/>
      <c r="AT693"/>
    </row>
    <row r="694" spans="45:46" x14ac:dyDescent="0.25">
      <c r="AS694"/>
      <c r="AT694"/>
    </row>
    <row r="695" spans="45:46" x14ac:dyDescent="0.25">
      <c r="AS695"/>
      <c r="AT695"/>
    </row>
    <row r="696" spans="45:46" x14ac:dyDescent="0.25">
      <c r="AS696"/>
      <c r="AT696"/>
    </row>
    <row r="697" spans="45:46" x14ac:dyDescent="0.25">
      <c r="AS697"/>
      <c r="AT697"/>
    </row>
    <row r="698" spans="45:46" x14ac:dyDescent="0.25">
      <c r="AS698"/>
      <c r="AT698"/>
    </row>
    <row r="699" spans="45:46" x14ac:dyDescent="0.25">
      <c r="AS699"/>
      <c r="AT699"/>
    </row>
    <row r="700" spans="45:46" x14ac:dyDescent="0.25">
      <c r="AS700"/>
      <c r="AT700"/>
    </row>
    <row r="701" spans="45:46" x14ac:dyDescent="0.25">
      <c r="AS701"/>
      <c r="AT701"/>
    </row>
    <row r="702" spans="45:46" x14ac:dyDescent="0.25">
      <c r="AS702"/>
      <c r="AT702"/>
    </row>
    <row r="703" spans="45:46" x14ac:dyDescent="0.25">
      <c r="AS703"/>
      <c r="AT703"/>
    </row>
    <row r="704" spans="45:46" x14ac:dyDescent="0.25">
      <c r="AS704"/>
      <c r="AT704"/>
    </row>
    <row r="705" spans="45:46" x14ac:dyDescent="0.25">
      <c r="AS705"/>
      <c r="AT705"/>
    </row>
    <row r="706" spans="45:46" x14ac:dyDescent="0.25">
      <c r="AS706"/>
      <c r="AT706"/>
    </row>
    <row r="707" spans="45:46" x14ac:dyDescent="0.25">
      <c r="AS707"/>
      <c r="AT707"/>
    </row>
    <row r="708" spans="45:46" x14ac:dyDescent="0.25">
      <c r="AS708"/>
      <c r="AT708"/>
    </row>
    <row r="709" spans="45:46" x14ac:dyDescent="0.25">
      <c r="AS709"/>
      <c r="AT709"/>
    </row>
    <row r="710" spans="45:46" x14ac:dyDescent="0.25">
      <c r="AS710"/>
      <c r="AT710"/>
    </row>
    <row r="711" spans="45:46" x14ac:dyDescent="0.25">
      <c r="AS711"/>
      <c r="AT711"/>
    </row>
    <row r="712" spans="45:46" x14ac:dyDescent="0.25">
      <c r="AS712"/>
      <c r="AT712"/>
    </row>
    <row r="713" spans="45:46" x14ac:dyDescent="0.25">
      <c r="AS713"/>
      <c r="AT713"/>
    </row>
    <row r="714" spans="45:46" x14ac:dyDescent="0.25">
      <c r="AS714"/>
      <c r="AT714"/>
    </row>
    <row r="715" spans="45:46" x14ac:dyDescent="0.25">
      <c r="AS715"/>
      <c r="AT715"/>
    </row>
    <row r="716" spans="45:46" x14ac:dyDescent="0.25">
      <c r="AS716"/>
      <c r="AT716"/>
    </row>
    <row r="717" spans="45:46" x14ac:dyDescent="0.25">
      <c r="AS717"/>
      <c r="AT717"/>
    </row>
    <row r="718" spans="45:46" x14ac:dyDescent="0.25">
      <c r="AS718"/>
      <c r="AT718"/>
    </row>
    <row r="719" spans="45:46" x14ac:dyDescent="0.25">
      <c r="AS719"/>
      <c r="AT719"/>
    </row>
    <row r="720" spans="45:46" x14ac:dyDescent="0.25">
      <c r="AS720"/>
      <c r="AT720"/>
    </row>
    <row r="721" spans="45:46" x14ac:dyDescent="0.25">
      <c r="AS721"/>
      <c r="AT721"/>
    </row>
    <row r="722" spans="45:46" x14ac:dyDescent="0.25">
      <c r="AS722"/>
      <c r="AT722"/>
    </row>
    <row r="723" spans="45:46" x14ac:dyDescent="0.25">
      <c r="AS723"/>
      <c r="AT723"/>
    </row>
    <row r="724" spans="45:46" x14ac:dyDescent="0.25">
      <c r="AS724"/>
      <c r="AT724"/>
    </row>
    <row r="725" spans="45:46" x14ac:dyDescent="0.25">
      <c r="AS725"/>
      <c r="AT725"/>
    </row>
    <row r="726" spans="45:46" x14ac:dyDescent="0.25">
      <c r="AS726"/>
      <c r="AT726"/>
    </row>
    <row r="727" spans="45:46" x14ac:dyDescent="0.25">
      <c r="AS727"/>
      <c r="AT727"/>
    </row>
    <row r="728" spans="45:46" x14ac:dyDescent="0.25">
      <c r="AS728"/>
      <c r="AT728"/>
    </row>
    <row r="729" spans="45:46" x14ac:dyDescent="0.25">
      <c r="AS729"/>
      <c r="AT729"/>
    </row>
    <row r="730" spans="45:46" x14ac:dyDescent="0.25">
      <c r="AS730"/>
      <c r="AT730"/>
    </row>
    <row r="731" spans="45:46" x14ac:dyDescent="0.25">
      <c r="AS731"/>
      <c r="AT731"/>
    </row>
    <row r="732" spans="45:46" x14ac:dyDescent="0.25">
      <c r="AS732"/>
      <c r="AT732"/>
    </row>
    <row r="733" spans="45:46" x14ac:dyDescent="0.25">
      <c r="AS733"/>
      <c r="AT733"/>
    </row>
    <row r="734" spans="45:46" x14ac:dyDescent="0.25">
      <c r="AS734"/>
      <c r="AT734"/>
    </row>
    <row r="735" spans="45:46" x14ac:dyDescent="0.25">
      <c r="AS735"/>
      <c r="AT735"/>
    </row>
    <row r="736" spans="45:46" x14ac:dyDescent="0.25">
      <c r="AS736"/>
      <c r="AT736"/>
    </row>
    <row r="737" spans="45:46" x14ac:dyDescent="0.25">
      <c r="AS737"/>
      <c r="AT737"/>
    </row>
    <row r="738" spans="45:46" x14ac:dyDescent="0.25">
      <c r="AS738"/>
      <c r="AT738"/>
    </row>
    <row r="739" spans="45:46" x14ac:dyDescent="0.25">
      <c r="AS739"/>
      <c r="AT739"/>
    </row>
    <row r="740" spans="45:46" x14ac:dyDescent="0.25">
      <c r="AS740"/>
      <c r="AT740"/>
    </row>
    <row r="741" spans="45:46" x14ac:dyDescent="0.25">
      <c r="AS741"/>
      <c r="AT741"/>
    </row>
    <row r="742" spans="45:46" x14ac:dyDescent="0.25">
      <c r="AS742"/>
      <c r="AT742"/>
    </row>
    <row r="743" spans="45:46" x14ac:dyDescent="0.25">
      <c r="AS743"/>
      <c r="AT743"/>
    </row>
    <row r="744" spans="45:46" x14ac:dyDescent="0.25">
      <c r="AS744"/>
      <c r="AT744"/>
    </row>
    <row r="745" spans="45:46" x14ac:dyDescent="0.25">
      <c r="AS745"/>
      <c r="AT745"/>
    </row>
    <row r="746" spans="45:46" x14ac:dyDescent="0.25">
      <c r="AS746"/>
      <c r="AT746"/>
    </row>
    <row r="747" spans="45:46" x14ac:dyDescent="0.25">
      <c r="AS747"/>
      <c r="AT747"/>
    </row>
    <row r="748" spans="45:46" x14ac:dyDescent="0.25">
      <c r="AS748"/>
      <c r="AT748"/>
    </row>
    <row r="749" spans="45:46" x14ac:dyDescent="0.25">
      <c r="AS749"/>
      <c r="AT749"/>
    </row>
    <row r="750" spans="45:46" x14ac:dyDescent="0.25">
      <c r="AS750"/>
      <c r="AT750"/>
    </row>
    <row r="751" spans="45:46" x14ac:dyDescent="0.25">
      <c r="AS751"/>
      <c r="AT751"/>
    </row>
    <row r="752" spans="45:46" x14ac:dyDescent="0.25">
      <c r="AS752"/>
      <c r="AT752"/>
    </row>
    <row r="753" spans="45:46" x14ac:dyDescent="0.25">
      <c r="AS753"/>
      <c r="AT753"/>
    </row>
    <row r="754" spans="45:46" x14ac:dyDescent="0.25">
      <c r="AS754"/>
      <c r="AT754"/>
    </row>
    <row r="755" spans="45:46" x14ac:dyDescent="0.25">
      <c r="AS755"/>
      <c r="AT755"/>
    </row>
    <row r="756" spans="45:46" x14ac:dyDescent="0.25">
      <c r="AS756"/>
      <c r="AT756"/>
    </row>
    <row r="757" spans="45:46" x14ac:dyDescent="0.25">
      <c r="AS757"/>
      <c r="AT757"/>
    </row>
    <row r="758" spans="45:46" x14ac:dyDescent="0.25">
      <c r="AS758"/>
      <c r="AT758"/>
    </row>
    <row r="759" spans="45:46" x14ac:dyDescent="0.25">
      <c r="AS759"/>
      <c r="AT759"/>
    </row>
    <row r="760" spans="45:46" x14ac:dyDescent="0.25">
      <c r="AS760"/>
      <c r="AT760"/>
    </row>
    <row r="761" spans="45:46" x14ac:dyDescent="0.25">
      <c r="AS761"/>
      <c r="AT761"/>
    </row>
    <row r="762" spans="45:46" x14ac:dyDescent="0.25">
      <c r="AS762"/>
      <c r="AT762"/>
    </row>
    <row r="763" spans="45:46" x14ac:dyDescent="0.25">
      <c r="AS763"/>
      <c r="AT763"/>
    </row>
    <row r="764" spans="45:46" x14ac:dyDescent="0.25">
      <c r="AS764"/>
      <c r="AT764"/>
    </row>
    <row r="765" spans="45:46" x14ac:dyDescent="0.25">
      <c r="AS765"/>
      <c r="AT765"/>
    </row>
    <row r="766" spans="45:46" x14ac:dyDescent="0.25">
      <c r="AS766"/>
      <c r="AT766"/>
    </row>
    <row r="767" spans="45:46" x14ac:dyDescent="0.25">
      <c r="AS767"/>
      <c r="AT767"/>
    </row>
    <row r="768" spans="45:46" x14ac:dyDescent="0.25">
      <c r="AS768"/>
      <c r="AT768"/>
    </row>
    <row r="769" spans="45:46" x14ac:dyDescent="0.25">
      <c r="AS769"/>
      <c r="AT769"/>
    </row>
    <row r="770" spans="45:46" x14ac:dyDescent="0.25">
      <c r="AS770"/>
      <c r="AT770"/>
    </row>
    <row r="771" spans="45:46" x14ac:dyDescent="0.25">
      <c r="AS771"/>
      <c r="AT771"/>
    </row>
    <row r="772" spans="45:46" x14ac:dyDescent="0.25">
      <c r="AS772"/>
      <c r="AT772"/>
    </row>
    <row r="773" spans="45:46" x14ac:dyDescent="0.25">
      <c r="AS773"/>
      <c r="AT773"/>
    </row>
    <row r="774" spans="45:46" x14ac:dyDescent="0.25">
      <c r="AS774"/>
      <c r="AT774"/>
    </row>
    <row r="775" spans="45:46" x14ac:dyDescent="0.25">
      <c r="AS775"/>
      <c r="AT775"/>
    </row>
    <row r="776" spans="45:46" x14ac:dyDescent="0.25">
      <c r="AS776"/>
      <c r="AT776"/>
    </row>
    <row r="777" spans="45:46" x14ac:dyDescent="0.25">
      <c r="AS777"/>
      <c r="AT777"/>
    </row>
    <row r="778" spans="45:46" x14ac:dyDescent="0.25">
      <c r="AS778"/>
      <c r="AT778"/>
    </row>
    <row r="779" spans="45:46" x14ac:dyDescent="0.25">
      <c r="AS779"/>
      <c r="AT779"/>
    </row>
    <row r="780" spans="45:46" x14ac:dyDescent="0.25">
      <c r="AS780"/>
      <c r="AT780"/>
    </row>
    <row r="781" spans="45:46" x14ac:dyDescent="0.25">
      <c r="AS781"/>
      <c r="AT781"/>
    </row>
    <row r="782" spans="45:46" x14ac:dyDescent="0.25">
      <c r="AS782"/>
      <c r="AT782"/>
    </row>
    <row r="783" spans="45:46" x14ac:dyDescent="0.25">
      <c r="AS783"/>
      <c r="AT783"/>
    </row>
    <row r="784" spans="45:46" x14ac:dyDescent="0.25">
      <c r="AS784"/>
      <c r="AT784"/>
    </row>
    <row r="785" spans="45:46" x14ac:dyDescent="0.25">
      <c r="AS785"/>
      <c r="AT785"/>
    </row>
    <row r="786" spans="45:46" x14ac:dyDescent="0.25">
      <c r="AS786"/>
      <c r="AT786"/>
    </row>
    <row r="787" spans="45:46" x14ac:dyDescent="0.25">
      <c r="AS787"/>
      <c r="AT787"/>
    </row>
    <row r="788" spans="45:46" x14ac:dyDescent="0.25">
      <c r="AS788"/>
      <c r="AT788"/>
    </row>
    <row r="789" spans="45:46" x14ac:dyDescent="0.25">
      <c r="AS789"/>
      <c r="AT789"/>
    </row>
    <row r="790" spans="45:46" x14ac:dyDescent="0.25">
      <c r="AS790"/>
      <c r="AT790"/>
    </row>
    <row r="791" spans="45:46" x14ac:dyDescent="0.25">
      <c r="AS791"/>
      <c r="AT791"/>
    </row>
    <row r="792" spans="45:46" x14ac:dyDescent="0.25">
      <c r="AS792"/>
      <c r="AT792"/>
    </row>
    <row r="793" spans="45:46" x14ac:dyDescent="0.25">
      <c r="AS793"/>
      <c r="AT793"/>
    </row>
    <row r="794" spans="45:46" x14ac:dyDescent="0.25">
      <c r="AS794"/>
      <c r="AT794"/>
    </row>
    <row r="795" spans="45:46" x14ac:dyDescent="0.25">
      <c r="AS795"/>
      <c r="AT795"/>
    </row>
    <row r="796" spans="45:46" x14ac:dyDescent="0.25">
      <c r="AS796"/>
      <c r="AT796"/>
    </row>
    <row r="797" spans="45:46" x14ac:dyDescent="0.25">
      <c r="AS797"/>
      <c r="AT797"/>
    </row>
    <row r="798" spans="45:46" x14ac:dyDescent="0.25">
      <c r="AS798"/>
      <c r="AT798"/>
    </row>
    <row r="799" spans="45:46" x14ac:dyDescent="0.25">
      <c r="AS799"/>
      <c r="AT799"/>
    </row>
    <row r="800" spans="45:46" x14ac:dyDescent="0.25">
      <c r="AS800"/>
      <c r="AT800"/>
    </row>
    <row r="801" spans="45:46" x14ac:dyDescent="0.25">
      <c r="AS801"/>
      <c r="AT801"/>
    </row>
    <row r="802" spans="45:46" x14ac:dyDescent="0.25">
      <c r="AS802"/>
      <c r="AT802"/>
    </row>
    <row r="803" spans="45:46" x14ac:dyDescent="0.25">
      <c r="AS803"/>
      <c r="AT803"/>
    </row>
    <row r="804" spans="45:46" x14ac:dyDescent="0.25">
      <c r="AS804"/>
      <c r="AT804"/>
    </row>
    <row r="805" spans="45:46" x14ac:dyDescent="0.25">
      <c r="AS805"/>
      <c r="AT805"/>
    </row>
    <row r="806" spans="45:46" x14ac:dyDescent="0.25">
      <c r="AS806"/>
      <c r="AT806"/>
    </row>
    <row r="807" spans="45:46" x14ac:dyDescent="0.25">
      <c r="AS807"/>
      <c r="AT807"/>
    </row>
    <row r="808" spans="45:46" x14ac:dyDescent="0.25">
      <c r="AS808"/>
      <c r="AT808"/>
    </row>
    <row r="809" spans="45:46" x14ac:dyDescent="0.25">
      <c r="AS809"/>
      <c r="AT809"/>
    </row>
    <row r="810" spans="45:46" x14ac:dyDescent="0.25">
      <c r="AS810"/>
      <c r="AT810"/>
    </row>
    <row r="811" spans="45:46" x14ac:dyDescent="0.25">
      <c r="AS811"/>
      <c r="AT811"/>
    </row>
    <row r="812" spans="45:46" x14ac:dyDescent="0.25">
      <c r="AS812"/>
      <c r="AT812"/>
    </row>
    <row r="813" spans="45:46" x14ac:dyDescent="0.25">
      <c r="AS813"/>
      <c r="AT813"/>
    </row>
    <row r="814" spans="45:46" x14ac:dyDescent="0.25">
      <c r="AS814"/>
      <c r="AT814"/>
    </row>
    <row r="815" spans="45:46" x14ac:dyDescent="0.25">
      <c r="AS815"/>
      <c r="AT815"/>
    </row>
    <row r="816" spans="45:46" x14ac:dyDescent="0.25">
      <c r="AS816"/>
      <c r="AT816"/>
    </row>
    <row r="817" spans="45:46" x14ac:dyDescent="0.25">
      <c r="AS817"/>
      <c r="AT817"/>
    </row>
    <row r="818" spans="45:46" x14ac:dyDescent="0.25">
      <c r="AS818"/>
      <c r="AT818"/>
    </row>
    <row r="819" spans="45:46" x14ac:dyDescent="0.25">
      <c r="AS819"/>
      <c r="AT819"/>
    </row>
    <row r="820" spans="45:46" x14ac:dyDescent="0.25">
      <c r="AS820"/>
      <c r="AT820"/>
    </row>
    <row r="821" spans="45:46" x14ac:dyDescent="0.25">
      <c r="AS821"/>
      <c r="AT821"/>
    </row>
    <row r="822" spans="45:46" x14ac:dyDescent="0.25">
      <c r="AS822"/>
      <c r="AT822"/>
    </row>
    <row r="823" spans="45:46" x14ac:dyDescent="0.25">
      <c r="AS823"/>
      <c r="AT823"/>
    </row>
    <row r="824" spans="45:46" x14ac:dyDescent="0.25">
      <c r="AS824"/>
      <c r="AT824"/>
    </row>
    <row r="825" spans="45:46" x14ac:dyDescent="0.25">
      <c r="AS825"/>
      <c r="AT825"/>
    </row>
    <row r="826" spans="45:46" x14ac:dyDescent="0.25">
      <c r="AS826"/>
      <c r="AT826"/>
    </row>
    <row r="827" spans="45:46" x14ac:dyDescent="0.25">
      <c r="AS827"/>
      <c r="AT827"/>
    </row>
    <row r="828" spans="45:46" x14ac:dyDescent="0.25">
      <c r="AS828"/>
      <c r="AT828"/>
    </row>
    <row r="829" spans="45:46" x14ac:dyDescent="0.25">
      <c r="AS829"/>
      <c r="AT829"/>
    </row>
    <row r="830" spans="45:46" x14ac:dyDescent="0.25">
      <c r="AS830"/>
      <c r="AT830"/>
    </row>
    <row r="831" spans="45:46" x14ac:dyDescent="0.25">
      <c r="AS831"/>
      <c r="AT831"/>
    </row>
    <row r="832" spans="45:46" x14ac:dyDescent="0.25">
      <c r="AS832"/>
      <c r="AT832"/>
    </row>
    <row r="833" spans="45:46" x14ac:dyDescent="0.25">
      <c r="AS833"/>
      <c r="AT833"/>
    </row>
    <row r="834" spans="45:46" x14ac:dyDescent="0.25">
      <c r="AS834"/>
      <c r="AT834"/>
    </row>
    <row r="835" spans="45:46" x14ac:dyDescent="0.25">
      <c r="AS835"/>
      <c r="AT835"/>
    </row>
    <row r="836" spans="45:46" x14ac:dyDescent="0.25">
      <c r="AS836"/>
      <c r="AT836"/>
    </row>
    <row r="837" spans="45:46" x14ac:dyDescent="0.25">
      <c r="AS837"/>
      <c r="AT837"/>
    </row>
    <row r="838" spans="45:46" x14ac:dyDescent="0.25">
      <c r="AS838"/>
      <c r="AT838"/>
    </row>
    <row r="839" spans="45:46" x14ac:dyDescent="0.25">
      <c r="AS839"/>
      <c r="AT839"/>
    </row>
    <row r="840" spans="45:46" x14ac:dyDescent="0.25">
      <c r="AS840"/>
      <c r="AT840"/>
    </row>
    <row r="841" spans="45:46" x14ac:dyDescent="0.25">
      <c r="AS841"/>
      <c r="AT841"/>
    </row>
    <row r="842" spans="45:46" x14ac:dyDescent="0.25">
      <c r="AS842"/>
      <c r="AT842"/>
    </row>
    <row r="843" spans="45:46" x14ac:dyDescent="0.25">
      <c r="AS843"/>
      <c r="AT843"/>
    </row>
    <row r="844" spans="45:46" x14ac:dyDescent="0.25">
      <c r="AS844"/>
      <c r="AT844"/>
    </row>
    <row r="845" spans="45:46" x14ac:dyDescent="0.25">
      <c r="AS845"/>
      <c r="AT845"/>
    </row>
    <row r="846" spans="45:46" x14ac:dyDescent="0.25">
      <c r="AS846"/>
      <c r="AT846"/>
    </row>
    <row r="847" spans="45:46" x14ac:dyDescent="0.25">
      <c r="AS847"/>
      <c r="AT847"/>
    </row>
    <row r="848" spans="45:46" x14ac:dyDescent="0.25">
      <c r="AS848"/>
      <c r="AT848"/>
    </row>
    <row r="849" spans="45:46" x14ac:dyDescent="0.25">
      <c r="AS849"/>
      <c r="AT849"/>
    </row>
    <row r="850" spans="45:46" x14ac:dyDescent="0.25">
      <c r="AS850"/>
      <c r="AT850"/>
    </row>
    <row r="851" spans="45:46" x14ac:dyDescent="0.25">
      <c r="AS851"/>
      <c r="AT851"/>
    </row>
    <row r="852" spans="45:46" x14ac:dyDescent="0.25">
      <c r="AS852"/>
      <c r="AT852"/>
    </row>
    <row r="853" spans="45:46" x14ac:dyDescent="0.25">
      <c r="AS853"/>
      <c r="AT853"/>
    </row>
    <row r="854" spans="45:46" x14ac:dyDescent="0.25">
      <c r="AS854"/>
      <c r="AT854"/>
    </row>
    <row r="855" spans="45:46" x14ac:dyDescent="0.25">
      <c r="AS855"/>
      <c r="AT855"/>
    </row>
    <row r="856" spans="45:46" x14ac:dyDescent="0.25">
      <c r="AS856"/>
      <c r="AT856"/>
    </row>
    <row r="857" spans="45:46" x14ac:dyDescent="0.25">
      <c r="AS857"/>
      <c r="AT857"/>
    </row>
    <row r="858" spans="45:46" x14ac:dyDescent="0.25">
      <c r="AS858"/>
      <c r="AT858"/>
    </row>
    <row r="859" spans="45:46" x14ac:dyDescent="0.25">
      <c r="AS859"/>
      <c r="AT859"/>
    </row>
    <row r="860" spans="45:46" x14ac:dyDescent="0.25">
      <c r="AS860"/>
      <c r="AT860"/>
    </row>
    <row r="861" spans="45:46" x14ac:dyDescent="0.25">
      <c r="AS861"/>
      <c r="AT861"/>
    </row>
    <row r="862" spans="45:46" x14ac:dyDescent="0.25">
      <c r="AS862"/>
      <c r="AT862"/>
    </row>
    <row r="863" spans="45:46" x14ac:dyDescent="0.25">
      <c r="AS863"/>
      <c r="AT863"/>
    </row>
    <row r="864" spans="45:46" x14ac:dyDescent="0.25">
      <c r="AS864"/>
      <c r="AT864"/>
    </row>
    <row r="865" spans="45:46" x14ac:dyDescent="0.25">
      <c r="AS865"/>
      <c r="AT865"/>
    </row>
    <row r="866" spans="45:46" x14ac:dyDescent="0.25">
      <c r="AS866"/>
      <c r="AT866"/>
    </row>
    <row r="867" spans="45:46" x14ac:dyDescent="0.25">
      <c r="AS867"/>
      <c r="AT867"/>
    </row>
    <row r="868" spans="45:46" x14ac:dyDescent="0.25">
      <c r="AS868"/>
      <c r="AT868"/>
    </row>
    <row r="869" spans="45:46" x14ac:dyDescent="0.25">
      <c r="AS869"/>
      <c r="AT869"/>
    </row>
    <row r="870" spans="45:46" x14ac:dyDescent="0.25">
      <c r="AS870"/>
      <c r="AT870"/>
    </row>
    <row r="871" spans="45:46" x14ac:dyDescent="0.25">
      <c r="AS871"/>
      <c r="AT871"/>
    </row>
    <row r="872" spans="45:46" x14ac:dyDescent="0.25">
      <c r="AS872"/>
      <c r="AT872"/>
    </row>
    <row r="873" spans="45:46" x14ac:dyDescent="0.25">
      <c r="AS873"/>
      <c r="AT873"/>
    </row>
    <row r="874" spans="45:46" x14ac:dyDescent="0.25">
      <c r="AS874"/>
      <c r="AT874"/>
    </row>
    <row r="875" spans="45:46" x14ac:dyDescent="0.25">
      <c r="AS875"/>
      <c r="AT875"/>
    </row>
    <row r="876" spans="45:46" x14ac:dyDescent="0.25">
      <c r="AS876"/>
      <c r="AT876"/>
    </row>
    <row r="877" spans="45:46" x14ac:dyDescent="0.25">
      <c r="AS877"/>
      <c r="AT877"/>
    </row>
    <row r="878" spans="45:46" x14ac:dyDescent="0.25">
      <c r="AS878"/>
      <c r="AT878"/>
    </row>
    <row r="879" spans="45:46" x14ac:dyDescent="0.25">
      <c r="AS879"/>
      <c r="AT879"/>
    </row>
    <row r="880" spans="45:46" x14ac:dyDescent="0.25">
      <c r="AS880"/>
      <c r="AT880"/>
    </row>
    <row r="881" spans="45:46" x14ac:dyDescent="0.25">
      <c r="AS881"/>
      <c r="AT881"/>
    </row>
    <row r="882" spans="45:46" x14ac:dyDescent="0.25">
      <c r="AS882"/>
      <c r="AT882"/>
    </row>
    <row r="883" spans="45:46" x14ac:dyDescent="0.25">
      <c r="AS883"/>
      <c r="AT883"/>
    </row>
    <row r="884" spans="45:46" x14ac:dyDescent="0.25">
      <c r="AS884"/>
      <c r="AT884"/>
    </row>
    <row r="885" spans="45:46" x14ac:dyDescent="0.25">
      <c r="AS885"/>
      <c r="AT885"/>
    </row>
    <row r="886" spans="45:46" x14ac:dyDescent="0.25">
      <c r="AS886"/>
      <c r="AT886"/>
    </row>
    <row r="887" spans="45:46" x14ac:dyDescent="0.25">
      <c r="AS887"/>
      <c r="AT887"/>
    </row>
    <row r="888" spans="45:46" x14ac:dyDescent="0.25">
      <c r="AS888"/>
      <c r="AT888"/>
    </row>
    <row r="889" spans="45:46" x14ac:dyDescent="0.25">
      <c r="AS889"/>
      <c r="AT889"/>
    </row>
    <row r="890" spans="45:46" x14ac:dyDescent="0.25">
      <c r="AS890"/>
      <c r="AT890"/>
    </row>
    <row r="891" spans="45:46" x14ac:dyDescent="0.25">
      <c r="AS891"/>
      <c r="AT891"/>
    </row>
    <row r="892" spans="45:46" x14ac:dyDescent="0.25">
      <c r="AS892"/>
      <c r="AT892"/>
    </row>
    <row r="893" spans="45:46" x14ac:dyDescent="0.25">
      <c r="AS893"/>
      <c r="AT893"/>
    </row>
    <row r="894" spans="45:46" x14ac:dyDescent="0.25">
      <c r="AS894"/>
      <c r="AT894"/>
    </row>
    <row r="895" spans="45:46" x14ac:dyDescent="0.25">
      <c r="AS895"/>
      <c r="AT895"/>
    </row>
    <row r="896" spans="45:46" x14ac:dyDescent="0.25">
      <c r="AS896"/>
      <c r="AT896"/>
    </row>
    <row r="897" spans="45:46" x14ac:dyDescent="0.25">
      <c r="AS897"/>
      <c r="AT897"/>
    </row>
    <row r="898" spans="45:46" x14ac:dyDescent="0.25">
      <c r="AS898"/>
      <c r="AT898"/>
    </row>
    <row r="899" spans="45:46" x14ac:dyDescent="0.25">
      <c r="AS899"/>
      <c r="AT899"/>
    </row>
    <row r="900" spans="45:46" x14ac:dyDescent="0.25">
      <c r="AS900"/>
      <c r="AT900"/>
    </row>
    <row r="901" spans="45:46" x14ac:dyDescent="0.25">
      <c r="AS901"/>
      <c r="AT901"/>
    </row>
    <row r="902" spans="45:46" x14ac:dyDescent="0.25">
      <c r="AS902"/>
      <c r="AT902"/>
    </row>
    <row r="903" spans="45:46" x14ac:dyDescent="0.25">
      <c r="AS903"/>
      <c r="AT903"/>
    </row>
    <row r="904" spans="45:46" x14ac:dyDescent="0.25">
      <c r="AS904"/>
      <c r="AT904"/>
    </row>
    <row r="905" spans="45:46" x14ac:dyDescent="0.25">
      <c r="AS905"/>
      <c r="AT905"/>
    </row>
    <row r="906" spans="45:46" x14ac:dyDescent="0.25">
      <c r="AS906"/>
      <c r="AT906"/>
    </row>
    <row r="907" spans="45:46" x14ac:dyDescent="0.25">
      <c r="AS907"/>
      <c r="AT907"/>
    </row>
    <row r="908" spans="45:46" x14ac:dyDescent="0.25">
      <c r="AS908"/>
      <c r="AT908"/>
    </row>
    <row r="909" spans="45:46" x14ac:dyDescent="0.25">
      <c r="AS909"/>
      <c r="AT909"/>
    </row>
    <row r="910" spans="45:46" x14ac:dyDescent="0.25">
      <c r="AS910"/>
      <c r="AT910"/>
    </row>
    <row r="911" spans="45:46" x14ac:dyDescent="0.25">
      <c r="AS911"/>
      <c r="AT911"/>
    </row>
    <row r="912" spans="45:46" x14ac:dyDescent="0.25">
      <c r="AS912"/>
      <c r="AT912"/>
    </row>
    <row r="913" spans="45:46" x14ac:dyDescent="0.25">
      <c r="AS913"/>
      <c r="AT913"/>
    </row>
    <row r="914" spans="45:46" x14ac:dyDescent="0.25">
      <c r="AS914"/>
      <c r="AT914"/>
    </row>
    <row r="915" spans="45:46" x14ac:dyDescent="0.25">
      <c r="AS915"/>
      <c r="AT915"/>
    </row>
    <row r="916" spans="45:46" x14ac:dyDescent="0.25">
      <c r="AS916"/>
      <c r="AT916"/>
    </row>
    <row r="917" spans="45:46" x14ac:dyDescent="0.25">
      <c r="AS917"/>
      <c r="AT917"/>
    </row>
    <row r="918" spans="45:46" x14ac:dyDescent="0.25">
      <c r="AS918"/>
      <c r="AT918"/>
    </row>
    <row r="919" spans="45:46" x14ac:dyDescent="0.25">
      <c r="AS919"/>
      <c r="AT919"/>
    </row>
    <row r="920" spans="45:46" x14ac:dyDescent="0.25">
      <c r="AS920"/>
      <c r="AT920"/>
    </row>
    <row r="921" spans="45:46" x14ac:dyDescent="0.25">
      <c r="AS921"/>
      <c r="AT921"/>
    </row>
    <row r="922" spans="45:46" x14ac:dyDescent="0.25">
      <c r="AS922"/>
      <c r="AT922"/>
    </row>
    <row r="923" spans="45:46" x14ac:dyDescent="0.25">
      <c r="AS923"/>
      <c r="AT923"/>
    </row>
    <row r="924" spans="45:46" x14ac:dyDescent="0.25">
      <c r="AS924"/>
      <c r="AT924"/>
    </row>
    <row r="925" spans="45:46" x14ac:dyDescent="0.25">
      <c r="AS925"/>
      <c r="AT925"/>
    </row>
    <row r="926" spans="45:46" x14ac:dyDescent="0.25">
      <c r="AS926"/>
      <c r="AT926"/>
    </row>
    <row r="927" spans="45:46" x14ac:dyDescent="0.25">
      <c r="AS927"/>
      <c r="AT927"/>
    </row>
    <row r="928" spans="45:46" x14ac:dyDescent="0.25">
      <c r="AS928"/>
      <c r="AT928"/>
    </row>
    <row r="929" spans="45:46" x14ac:dyDescent="0.25">
      <c r="AS929"/>
      <c r="AT929"/>
    </row>
    <row r="930" spans="45:46" x14ac:dyDescent="0.25">
      <c r="AS930"/>
      <c r="AT930"/>
    </row>
    <row r="931" spans="45:46" x14ac:dyDescent="0.25">
      <c r="AS931"/>
      <c r="AT931"/>
    </row>
    <row r="932" spans="45:46" x14ac:dyDescent="0.25">
      <c r="AS932"/>
      <c r="AT932"/>
    </row>
    <row r="933" spans="45:46" x14ac:dyDescent="0.25">
      <c r="AS933"/>
      <c r="AT933"/>
    </row>
    <row r="934" spans="45:46" x14ac:dyDescent="0.25">
      <c r="AS934"/>
      <c r="AT934"/>
    </row>
    <row r="935" spans="45:46" x14ac:dyDescent="0.25">
      <c r="AS935"/>
      <c r="AT935"/>
    </row>
    <row r="936" spans="45:46" x14ac:dyDescent="0.25">
      <c r="AS936"/>
      <c r="AT936"/>
    </row>
    <row r="937" spans="45:46" x14ac:dyDescent="0.25">
      <c r="AS937"/>
      <c r="AT937"/>
    </row>
    <row r="938" spans="45:46" x14ac:dyDescent="0.25">
      <c r="AS938"/>
      <c r="AT938"/>
    </row>
    <row r="939" spans="45:46" x14ac:dyDescent="0.25">
      <c r="AS939"/>
      <c r="AT939"/>
    </row>
    <row r="940" spans="45:46" x14ac:dyDescent="0.25">
      <c r="AS940"/>
      <c r="AT940"/>
    </row>
    <row r="941" spans="45:46" x14ac:dyDescent="0.25">
      <c r="AS941"/>
      <c r="AT941"/>
    </row>
    <row r="942" spans="45:46" x14ac:dyDescent="0.25">
      <c r="AS942"/>
      <c r="AT942"/>
    </row>
    <row r="943" spans="45:46" x14ac:dyDescent="0.25">
      <c r="AS943"/>
      <c r="AT943"/>
    </row>
    <row r="944" spans="45:46" x14ac:dyDescent="0.25">
      <c r="AS944"/>
      <c r="AT944"/>
    </row>
    <row r="945" spans="45:46" x14ac:dyDescent="0.25">
      <c r="AS945"/>
      <c r="AT945"/>
    </row>
    <row r="946" spans="45:46" x14ac:dyDescent="0.25">
      <c r="AS946"/>
      <c r="AT946"/>
    </row>
    <row r="947" spans="45:46" x14ac:dyDescent="0.25">
      <c r="AS947"/>
      <c r="AT947"/>
    </row>
    <row r="948" spans="45:46" x14ac:dyDescent="0.25">
      <c r="AS948"/>
      <c r="AT948"/>
    </row>
    <row r="949" spans="45:46" x14ac:dyDescent="0.25">
      <c r="AS949"/>
      <c r="AT949"/>
    </row>
    <row r="950" spans="45:46" x14ac:dyDescent="0.25">
      <c r="AS950"/>
      <c r="AT950"/>
    </row>
    <row r="951" spans="45:46" x14ac:dyDescent="0.25">
      <c r="AS951"/>
      <c r="AT951"/>
    </row>
    <row r="952" spans="45:46" x14ac:dyDescent="0.25">
      <c r="AS952"/>
      <c r="AT952"/>
    </row>
    <row r="953" spans="45:46" x14ac:dyDescent="0.25">
      <c r="AS953"/>
      <c r="AT953"/>
    </row>
    <row r="954" spans="45:46" x14ac:dyDescent="0.25">
      <c r="AS954"/>
      <c r="AT954"/>
    </row>
    <row r="955" spans="45:46" x14ac:dyDescent="0.25">
      <c r="AS955"/>
      <c r="AT955"/>
    </row>
    <row r="956" spans="45:46" x14ac:dyDescent="0.25">
      <c r="AS956"/>
      <c r="AT956"/>
    </row>
    <row r="957" spans="45:46" x14ac:dyDescent="0.25">
      <c r="AS957"/>
      <c r="AT957"/>
    </row>
    <row r="958" spans="45:46" x14ac:dyDescent="0.25">
      <c r="AS958"/>
      <c r="AT958"/>
    </row>
    <row r="959" spans="45:46" x14ac:dyDescent="0.25">
      <c r="AS959"/>
      <c r="AT959"/>
    </row>
    <row r="960" spans="45:46" x14ac:dyDescent="0.25">
      <c r="AS960"/>
      <c r="AT960"/>
    </row>
    <row r="961" spans="45:46" x14ac:dyDescent="0.25">
      <c r="AS961"/>
      <c r="AT961"/>
    </row>
    <row r="962" spans="45:46" x14ac:dyDescent="0.25">
      <c r="AS962"/>
      <c r="AT962"/>
    </row>
    <row r="963" spans="45:46" x14ac:dyDescent="0.25">
      <c r="AS963"/>
      <c r="AT963"/>
    </row>
    <row r="964" spans="45:46" x14ac:dyDescent="0.25">
      <c r="AS964"/>
      <c r="AT964"/>
    </row>
    <row r="965" spans="45:46" x14ac:dyDescent="0.25">
      <c r="AS965"/>
      <c r="AT965"/>
    </row>
    <row r="966" spans="45:46" x14ac:dyDescent="0.25">
      <c r="AS966"/>
      <c r="AT966"/>
    </row>
    <row r="967" spans="45:46" x14ac:dyDescent="0.25">
      <c r="AS967"/>
      <c r="AT967"/>
    </row>
    <row r="968" spans="45:46" x14ac:dyDescent="0.25">
      <c r="AS968"/>
      <c r="AT968"/>
    </row>
    <row r="969" spans="45:46" x14ac:dyDescent="0.25">
      <c r="AS969"/>
      <c r="AT969"/>
    </row>
    <row r="970" spans="45:46" x14ac:dyDescent="0.25">
      <c r="AS970"/>
      <c r="AT970"/>
    </row>
    <row r="971" spans="45:46" x14ac:dyDescent="0.25">
      <c r="AS971"/>
      <c r="AT971"/>
    </row>
    <row r="972" spans="45:46" x14ac:dyDescent="0.25">
      <c r="AS972"/>
      <c r="AT972"/>
    </row>
    <row r="973" spans="45:46" x14ac:dyDescent="0.25">
      <c r="AS973"/>
      <c r="AT973"/>
    </row>
    <row r="974" spans="45:46" x14ac:dyDescent="0.25">
      <c r="AS974"/>
      <c r="AT974"/>
    </row>
    <row r="975" spans="45:46" x14ac:dyDescent="0.25">
      <c r="AS975"/>
      <c r="AT975"/>
    </row>
    <row r="976" spans="45:46" x14ac:dyDescent="0.25">
      <c r="AS976"/>
      <c r="AT976"/>
    </row>
    <row r="977" spans="45:46" x14ac:dyDescent="0.25">
      <c r="AS977"/>
      <c r="AT977"/>
    </row>
    <row r="978" spans="45:46" x14ac:dyDescent="0.25">
      <c r="AS978"/>
      <c r="AT978"/>
    </row>
    <row r="979" spans="45:46" x14ac:dyDescent="0.25">
      <c r="AS979"/>
      <c r="AT979"/>
    </row>
    <row r="980" spans="45:46" x14ac:dyDescent="0.25">
      <c r="AS980"/>
      <c r="AT980"/>
    </row>
    <row r="981" spans="45:46" x14ac:dyDescent="0.25">
      <c r="AS981"/>
      <c r="AT981"/>
    </row>
    <row r="982" spans="45:46" x14ac:dyDescent="0.25">
      <c r="AS982"/>
      <c r="AT982"/>
    </row>
    <row r="983" spans="45:46" x14ac:dyDescent="0.25">
      <c r="AS983"/>
      <c r="AT983"/>
    </row>
    <row r="984" spans="45:46" x14ac:dyDescent="0.25">
      <c r="AS984"/>
      <c r="AT984"/>
    </row>
    <row r="985" spans="45:46" x14ac:dyDescent="0.25">
      <c r="AS985"/>
      <c r="AT985"/>
    </row>
    <row r="986" spans="45:46" x14ac:dyDescent="0.25">
      <c r="AS986"/>
      <c r="AT986"/>
    </row>
    <row r="987" spans="45:46" x14ac:dyDescent="0.25">
      <c r="AS987"/>
      <c r="AT987"/>
    </row>
    <row r="988" spans="45:46" x14ac:dyDescent="0.25">
      <c r="AS988"/>
      <c r="AT988"/>
    </row>
    <row r="989" spans="45:46" x14ac:dyDescent="0.25">
      <c r="AS989"/>
      <c r="AT989"/>
    </row>
    <row r="990" spans="45:46" x14ac:dyDescent="0.25">
      <c r="AS990"/>
      <c r="AT990"/>
    </row>
    <row r="991" spans="45:46" x14ac:dyDescent="0.25">
      <c r="AS991"/>
      <c r="AT991"/>
    </row>
    <row r="992" spans="45:46" x14ac:dyDescent="0.25">
      <c r="AS992"/>
      <c r="AT992"/>
    </row>
    <row r="993" spans="45:46" x14ac:dyDescent="0.25">
      <c r="AS993"/>
      <c r="AT993"/>
    </row>
    <row r="994" spans="45:46" x14ac:dyDescent="0.25">
      <c r="AS994"/>
      <c r="AT994"/>
    </row>
    <row r="995" spans="45:46" x14ac:dyDescent="0.25">
      <c r="AS995"/>
      <c r="AT995"/>
    </row>
    <row r="996" spans="45:46" x14ac:dyDescent="0.25">
      <c r="AS996"/>
      <c r="AT996"/>
    </row>
    <row r="997" spans="45:46" x14ac:dyDescent="0.25">
      <c r="AS997"/>
      <c r="AT997"/>
    </row>
    <row r="998" spans="45:46" x14ac:dyDescent="0.25">
      <c r="AS998"/>
      <c r="AT998"/>
    </row>
    <row r="999" spans="45:46" x14ac:dyDescent="0.25">
      <c r="AS999"/>
      <c r="AT999"/>
    </row>
    <row r="1000" spans="45:46" x14ac:dyDescent="0.25">
      <c r="AS1000"/>
      <c r="AT1000"/>
    </row>
    <row r="1001" spans="45:46" x14ac:dyDescent="0.25">
      <c r="AS1001"/>
      <c r="AT1001"/>
    </row>
    <row r="1002" spans="45:46" x14ac:dyDescent="0.25">
      <c r="AS1002"/>
      <c r="AT1002"/>
    </row>
    <row r="1003" spans="45:46" x14ac:dyDescent="0.25">
      <c r="AS1003"/>
      <c r="AT1003"/>
    </row>
    <row r="1004" spans="45:46" x14ac:dyDescent="0.25">
      <c r="AS1004"/>
      <c r="AT1004"/>
    </row>
    <row r="1005" spans="45:46" x14ac:dyDescent="0.25">
      <c r="AS1005"/>
      <c r="AT1005"/>
    </row>
    <row r="1006" spans="45:46" x14ac:dyDescent="0.25">
      <c r="AS1006"/>
      <c r="AT1006"/>
    </row>
    <row r="1007" spans="45:46" x14ac:dyDescent="0.25">
      <c r="AS1007"/>
      <c r="AT1007"/>
    </row>
    <row r="1008" spans="45:46" x14ac:dyDescent="0.25">
      <c r="AS1008"/>
      <c r="AT1008"/>
    </row>
    <row r="1009" spans="45:46" x14ac:dyDescent="0.25">
      <c r="AS1009"/>
      <c r="AT1009"/>
    </row>
    <row r="1010" spans="45:46" x14ac:dyDescent="0.25">
      <c r="AS1010"/>
      <c r="AT1010"/>
    </row>
    <row r="1011" spans="45:46" x14ac:dyDescent="0.25">
      <c r="AS1011"/>
      <c r="AT1011"/>
    </row>
    <row r="1012" spans="45:46" x14ac:dyDescent="0.25">
      <c r="AS1012"/>
      <c r="AT1012"/>
    </row>
    <row r="1013" spans="45:46" x14ac:dyDescent="0.25">
      <c r="AS1013"/>
      <c r="AT1013"/>
    </row>
    <row r="1014" spans="45:46" x14ac:dyDescent="0.25">
      <c r="AS1014"/>
      <c r="AT1014"/>
    </row>
    <row r="1015" spans="45:46" x14ac:dyDescent="0.25">
      <c r="AS1015"/>
      <c r="AT1015"/>
    </row>
    <row r="1016" spans="45:46" x14ac:dyDescent="0.25">
      <c r="AS1016"/>
      <c r="AT1016"/>
    </row>
    <row r="1017" spans="45:46" x14ac:dyDescent="0.25">
      <c r="AS1017"/>
      <c r="AT1017"/>
    </row>
    <row r="1018" spans="45:46" x14ac:dyDescent="0.25">
      <c r="AS1018"/>
      <c r="AT1018"/>
    </row>
    <row r="1019" spans="45:46" x14ac:dyDescent="0.25">
      <c r="AS1019"/>
      <c r="AT1019"/>
    </row>
    <row r="1020" spans="45:46" x14ac:dyDescent="0.25">
      <c r="AS1020"/>
      <c r="AT1020"/>
    </row>
    <row r="1021" spans="45:46" x14ac:dyDescent="0.25">
      <c r="AS1021"/>
      <c r="AT1021"/>
    </row>
    <row r="1022" spans="45:46" x14ac:dyDescent="0.25">
      <c r="AS1022"/>
      <c r="AT1022"/>
    </row>
    <row r="1023" spans="45:46" x14ac:dyDescent="0.25">
      <c r="AS1023"/>
      <c r="AT1023"/>
    </row>
    <row r="1024" spans="45:46" x14ac:dyDescent="0.25">
      <c r="AS1024"/>
      <c r="AT1024"/>
    </row>
    <row r="1025" spans="45:46" x14ac:dyDescent="0.25">
      <c r="AS1025"/>
      <c r="AT1025"/>
    </row>
    <row r="1026" spans="45:46" x14ac:dyDescent="0.25">
      <c r="AS1026"/>
      <c r="AT1026"/>
    </row>
    <row r="1027" spans="45:46" x14ac:dyDescent="0.25">
      <c r="AS1027"/>
      <c r="AT1027"/>
    </row>
    <row r="1028" spans="45:46" x14ac:dyDescent="0.25">
      <c r="AS1028"/>
      <c r="AT1028"/>
    </row>
    <row r="1029" spans="45:46" x14ac:dyDescent="0.25">
      <c r="AS1029"/>
      <c r="AT1029"/>
    </row>
    <row r="1030" spans="45:46" x14ac:dyDescent="0.25">
      <c r="AS1030"/>
      <c r="AT1030"/>
    </row>
    <row r="1031" spans="45:46" x14ac:dyDescent="0.25">
      <c r="AS1031"/>
      <c r="AT1031"/>
    </row>
    <row r="1032" spans="45:46" x14ac:dyDescent="0.25">
      <c r="AS1032"/>
      <c r="AT1032"/>
    </row>
    <row r="1033" spans="45:46" x14ac:dyDescent="0.25">
      <c r="AS1033"/>
      <c r="AT1033"/>
    </row>
    <row r="1034" spans="45:46" x14ac:dyDescent="0.25">
      <c r="AS1034"/>
      <c r="AT1034"/>
    </row>
    <row r="1035" spans="45:46" x14ac:dyDescent="0.25">
      <c r="AS1035"/>
      <c r="AT1035"/>
    </row>
    <row r="1036" spans="45:46" x14ac:dyDescent="0.25">
      <c r="AS1036"/>
      <c r="AT1036"/>
    </row>
    <row r="1037" spans="45:46" x14ac:dyDescent="0.25">
      <c r="AS1037"/>
      <c r="AT1037"/>
    </row>
    <row r="1038" spans="45:46" x14ac:dyDescent="0.25">
      <c r="AS1038"/>
      <c r="AT1038"/>
    </row>
    <row r="1039" spans="45:46" x14ac:dyDescent="0.25">
      <c r="AS1039"/>
      <c r="AT1039"/>
    </row>
    <row r="1040" spans="45:46" x14ac:dyDescent="0.25">
      <c r="AS1040"/>
      <c r="AT1040"/>
    </row>
    <row r="1041" spans="45:46" x14ac:dyDescent="0.25">
      <c r="AS1041"/>
      <c r="AT1041"/>
    </row>
    <row r="1042" spans="45:46" x14ac:dyDescent="0.25">
      <c r="AS1042"/>
      <c r="AT1042"/>
    </row>
    <row r="1043" spans="45:46" x14ac:dyDescent="0.25">
      <c r="AS1043"/>
      <c r="AT1043"/>
    </row>
    <row r="1044" spans="45:46" x14ac:dyDescent="0.25">
      <c r="AS1044"/>
      <c r="AT1044"/>
    </row>
    <row r="1045" spans="45:46" x14ac:dyDescent="0.25">
      <c r="AS1045"/>
      <c r="AT1045"/>
    </row>
    <row r="1046" spans="45:46" x14ac:dyDescent="0.25">
      <c r="AS1046"/>
      <c r="AT1046"/>
    </row>
    <row r="1047" spans="45:46" x14ac:dyDescent="0.25">
      <c r="AS1047"/>
      <c r="AT1047"/>
    </row>
    <row r="1048" spans="45:46" x14ac:dyDescent="0.25">
      <c r="AS1048"/>
      <c r="AT1048"/>
    </row>
    <row r="1049" spans="45:46" x14ac:dyDescent="0.25">
      <c r="AS1049"/>
      <c r="AT1049"/>
    </row>
    <row r="1050" spans="45:46" x14ac:dyDescent="0.25">
      <c r="AS1050"/>
      <c r="AT1050"/>
    </row>
    <row r="1051" spans="45:46" x14ac:dyDescent="0.25">
      <c r="AS1051"/>
      <c r="AT1051"/>
    </row>
    <row r="1052" spans="45:46" x14ac:dyDescent="0.25">
      <c r="AS1052"/>
      <c r="AT1052"/>
    </row>
    <row r="1053" spans="45:46" x14ac:dyDescent="0.25">
      <c r="AS1053"/>
      <c r="AT1053"/>
    </row>
    <row r="1054" spans="45:46" x14ac:dyDescent="0.25">
      <c r="AS1054"/>
      <c r="AT1054"/>
    </row>
    <row r="1055" spans="45:46" x14ac:dyDescent="0.25">
      <c r="AS1055"/>
      <c r="AT1055"/>
    </row>
    <row r="1056" spans="45:46" x14ac:dyDescent="0.25">
      <c r="AS1056"/>
      <c r="AT1056"/>
    </row>
    <row r="1057" spans="45:46" x14ac:dyDescent="0.25">
      <c r="AS1057"/>
      <c r="AT1057"/>
    </row>
    <row r="1058" spans="45:46" x14ac:dyDescent="0.25">
      <c r="AS1058"/>
      <c r="AT1058"/>
    </row>
    <row r="1059" spans="45:46" x14ac:dyDescent="0.25">
      <c r="AS1059"/>
      <c r="AT1059"/>
    </row>
    <row r="1060" spans="45:46" x14ac:dyDescent="0.25">
      <c r="AS1060"/>
      <c r="AT1060"/>
    </row>
    <row r="1061" spans="45:46" x14ac:dyDescent="0.25">
      <c r="AS1061"/>
      <c r="AT1061"/>
    </row>
    <row r="1062" spans="45:46" x14ac:dyDescent="0.25">
      <c r="AS1062"/>
      <c r="AT1062"/>
    </row>
    <row r="1063" spans="45:46" x14ac:dyDescent="0.25">
      <c r="AS1063"/>
      <c r="AT1063"/>
    </row>
    <row r="1064" spans="45:46" x14ac:dyDescent="0.25">
      <c r="AS1064"/>
      <c r="AT1064"/>
    </row>
    <row r="1065" spans="45:46" x14ac:dyDescent="0.25">
      <c r="AS1065"/>
      <c r="AT1065"/>
    </row>
    <row r="1066" spans="45:46" x14ac:dyDescent="0.25">
      <c r="AS1066"/>
      <c r="AT1066"/>
    </row>
    <row r="1067" spans="45:46" x14ac:dyDescent="0.25">
      <c r="AS1067"/>
      <c r="AT1067"/>
    </row>
    <row r="1068" spans="45:46" x14ac:dyDescent="0.25">
      <c r="AS1068"/>
      <c r="AT1068"/>
    </row>
    <row r="1069" spans="45:46" x14ac:dyDescent="0.25">
      <c r="AS1069"/>
      <c r="AT1069"/>
    </row>
    <row r="1070" spans="45:46" x14ac:dyDescent="0.25">
      <c r="AS1070"/>
      <c r="AT1070"/>
    </row>
    <row r="1071" spans="45:46" x14ac:dyDescent="0.25">
      <c r="AS1071"/>
      <c r="AT1071"/>
    </row>
    <row r="1072" spans="45:46" x14ac:dyDescent="0.25">
      <c r="AS1072"/>
      <c r="AT1072"/>
    </row>
    <row r="1073" spans="45:46" x14ac:dyDescent="0.25">
      <c r="AS1073"/>
      <c r="AT1073"/>
    </row>
    <row r="1074" spans="45:46" x14ac:dyDescent="0.25">
      <c r="AS1074"/>
      <c r="AT1074"/>
    </row>
    <row r="1075" spans="45:46" x14ac:dyDescent="0.25">
      <c r="AS1075"/>
      <c r="AT1075"/>
    </row>
    <row r="1076" spans="45:46" x14ac:dyDescent="0.25">
      <c r="AS1076"/>
      <c r="AT1076"/>
    </row>
    <row r="1077" spans="45:46" x14ac:dyDescent="0.25">
      <c r="AS1077"/>
      <c r="AT1077"/>
    </row>
    <row r="1078" spans="45:46" x14ac:dyDescent="0.25">
      <c r="AS1078"/>
      <c r="AT1078"/>
    </row>
    <row r="1079" spans="45:46" x14ac:dyDescent="0.25">
      <c r="AS1079"/>
      <c r="AT1079"/>
    </row>
    <row r="1080" spans="45:46" x14ac:dyDescent="0.25">
      <c r="AS1080"/>
      <c r="AT1080"/>
    </row>
    <row r="1081" spans="45:46" x14ac:dyDescent="0.25">
      <c r="AS1081"/>
      <c r="AT1081"/>
    </row>
    <row r="1082" spans="45:46" x14ac:dyDescent="0.25">
      <c r="AS1082"/>
      <c r="AT1082"/>
    </row>
    <row r="1083" spans="45:46" x14ac:dyDescent="0.25">
      <c r="AS1083"/>
      <c r="AT1083"/>
    </row>
    <row r="1084" spans="45:46" x14ac:dyDescent="0.25">
      <c r="AS1084"/>
      <c r="AT1084"/>
    </row>
    <row r="1085" spans="45:46" x14ac:dyDescent="0.25">
      <c r="AS1085"/>
      <c r="AT1085"/>
    </row>
    <row r="1086" spans="45:46" x14ac:dyDescent="0.25">
      <c r="AS1086"/>
      <c r="AT1086"/>
    </row>
    <row r="1087" spans="45:46" x14ac:dyDescent="0.25">
      <c r="AS1087"/>
      <c r="AT1087"/>
    </row>
    <row r="1088" spans="45:46" x14ac:dyDescent="0.25">
      <c r="AS1088"/>
      <c r="AT1088"/>
    </row>
    <row r="1089" spans="45:46" x14ac:dyDescent="0.25">
      <c r="AS1089"/>
      <c r="AT1089"/>
    </row>
    <row r="1090" spans="45:46" x14ac:dyDescent="0.25">
      <c r="AS1090"/>
      <c r="AT1090"/>
    </row>
    <row r="1091" spans="45:46" x14ac:dyDescent="0.25">
      <c r="AS1091"/>
      <c r="AT1091"/>
    </row>
    <row r="1092" spans="45:46" x14ac:dyDescent="0.25">
      <c r="AS1092"/>
      <c r="AT1092"/>
    </row>
    <row r="1093" spans="45:46" x14ac:dyDescent="0.25">
      <c r="AS1093"/>
      <c r="AT1093"/>
    </row>
    <row r="1094" spans="45:46" x14ac:dyDescent="0.25">
      <c r="AS1094"/>
      <c r="AT1094"/>
    </row>
    <row r="1095" spans="45:46" x14ac:dyDescent="0.25">
      <c r="AS1095"/>
      <c r="AT1095"/>
    </row>
    <row r="1096" spans="45:46" x14ac:dyDescent="0.25">
      <c r="AS1096"/>
      <c r="AT1096"/>
    </row>
    <row r="1097" spans="45:46" x14ac:dyDescent="0.25">
      <c r="AS1097"/>
      <c r="AT1097"/>
    </row>
    <row r="1098" spans="45:46" x14ac:dyDescent="0.25">
      <c r="AS1098"/>
      <c r="AT1098"/>
    </row>
    <row r="1099" spans="45:46" x14ac:dyDescent="0.25">
      <c r="AS1099"/>
      <c r="AT1099"/>
    </row>
    <row r="1100" spans="45:46" x14ac:dyDescent="0.25">
      <c r="AS1100"/>
      <c r="AT1100"/>
    </row>
    <row r="1101" spans="45:46" x14ac:dyDescent="0.25">
      <c r="AS1101"/>
      <c r="AT1101"/>
    </row>
    <row r="1102" spans="45:46" x14ac:dyDescent="0.25">
      <c r="AS1102"/>
      <c r="AT1102"/>
    </row>
    <row r="1103" spans="45:46" x14ac:dyDescent="0.25">
      <c r="AS1103"/>
      <c r="AT1103"/>
    </row>
    <row r="1104" spans="45:46" x14ac:dyDescent="0.25">
      <c r="AS1104"/>
      <c r="AT1104"/>
    </row>
    <row r="1105" spans="45:46" x14ac:dyDescent="0.25">
      <c r="AS1105"/>
      <c r="AT1105"/>
    </row>
    <row r="1106" spans="45:46" x14ac:dyDescent="0.25">
      <c r="AS1106"/>
      <c r="AT1106"/>
    </row>
    <row r="1107" spans="45:46" x14ac:dyDescent="0.25">
      <c r="AS1107"/>
      <c r="AT1107"/>
    </row>
    <row r="1108" spans="45:46" x14ac:dyDescent="0.25">
      <c r="AS1108"/>
      <c r="AT1108"/>
    </row>
    <row r="1109" spans="45:46" x14ac:dyDescent="0.25">
      <c r="AS1109"/>
      <c r="AT1109"/>
    </row>
    <row r="1110" spans="45:46" x14ac:dyDescent="0.25">
      <c r="AS1110"/>
      <c r="AT1110"/>
    </row>
    <row r="1111" spans="45:46" x14ac:dyDescent="0.25">
      <c r="AS1111"/>
      <c r="AT1111"/>
    </row>
    <row r="1112" spans="45:46" x14ac:dyDescent="0.25">
      <c r="AS1112"/>
      <c r="AT1112"/>
    </row>
    <row r="1113" spans="45:46" x14ac:dyDescent="0.25">
      <c r="AS1113"/>
      <c r="AT1113"/>
    </row>
    <row r="1114" spans="45:46" x14ac:dyDescent="0.25">
      <c r="AS1114"/>
      <c r="AT1114"/>
    </row>
    <row r="1115" spans="45:46" x14ac:dyDescent="0.25">
      <c r="AS1115"/>
      <c r="AT1115"/>
    </row>
    <row r="1116" spans="45:46" x14ac:dyDescent="0.25">
      <c r="AS1116"/>
      <c r="AT1116"/>
    </row>
    <row r="1117" spans="45:46" x14ac:dyDescent="0.25">
      <c r="AS1117"/>
      <c r="AT1117"/>
    </row>
    <row r="1118" spans="45:46" x14ac:dyDescent="0.25">
      <c r="AS1118"/>
      <c r="AT1118"/>
    </row>
    <row r="1119" spans="45:46" x14ac:dyDescent="0.25">
      <c r="AS1119"/>
      <c r="AT1119"/>
    </row>
    <row r="1120" spans="45:46" x14ac:dyDescent="0.25">
      <c r="AS1120"/>
      <c r="AT1120"/>
    </row>
    <row r="1121" spans="45:46" x14ac:dyDescent="0.25">
      <c r="AS1121"/>
      <c r="AT1121"/>
    </row>
    <row r="1122" spans="45:46" x14ac:dyDescent="0.25">
      <c r="AS1122"/>
      <c r="AT1122"/>
    </row>
    <row r="1123" spans="45:46" x14ac:dyDescent="0.25">
      <c r="AS1123"/>
      <c r="AT1123"/>
    </row>
    <row r="1124" spans="45:46" x14ac:dyDescent="0.25">
      <c r="AS1124"/>
      <c r="AT1124"/>
    </row>
    <row r="1125" spans="45:46" x14ac:dyDescent="0.25">
      <c r="AS1125"/>
      <c r="AT1125"/>
    </row>
    <row r="1126" spans="45:46" x14ac:dyDescent="0.25">
      <c r="AS1126"/>
      <c r="AT1126"/>
    </row>
    <row r="1127" spans="45:46" x14ac:dyDescent="0.25">
      <c r="AS1127"/>
      <c r="AT1127"/>
    </row>
    <row r="1128" spans="45:46" x14ac:dyDescent="0.25">
      <c r="AS1128"/>
      <c r="AT1128"/>
    </row>
    <row r="1129" spans="45:46" x14ac:dyDescent="0.25">
      <c r="AS1129"/>
      <c r="AT1129"/>
    </row>
    <row r="1130" spans="45:46" x14ac:dyDescent="0.25">
      <c r="AS1130"/>
      <c r="AT1130"/>
    </row>
    <row r="1131" spans="45:46" x14ac:dyDescent="0.25">
      <c r="AS1131"/>
      <c r="AT1131"/>
    </row>
    <row r="1132" spans="45:46" x14ac:dyDescent="0.25">
      <c r="AS1132"/>
      <c r="AT1132"/>
    </row>
    <row r="1133" spans="45:46" x14ac:dyDescent="0.25">
      <c r="AS1133"/>
      <c r="AT1133"/>
    </row>
    <row r="1134" spans="45:46" x14ac:dyDescent="0.25">
      <c r="AS1134"/>
      <c r="AT1134"/>
    </row>
    <row r="1135" spans="45:46" x14ac:dyDescent="0.25">
      <c r="AS1135"/>
      <c r="AT1135"/>
    </row>
    <row r="1136" spans="45:46" x14ac:dyDescent="0.25">
      <c r="AS1136"/>
      <c r="AT1136"/>
    </row>
    <row r="1137" spans="45:46" x14ac:dyDescent="0.25">
      <c r="AS1137"/>
      <c r="AT1137"/>
    </row>
    <row r="1138" spans="45:46" x14ac:dyDescent="0.25">
      <c r="AS1138"/>
      <c r="AT1138"/>
    </row>
    <row r="1139" spans="45:46" x14ac:dyDescent="0.25">
      <c r="AS1139"/>
      <c r="AT1139"/>
    </row>
    <row r="1140" spans="45:46" x14ac:dyDescent="0.25">
      <c r="AS1140"/>
      <c r="AT1140"/>
    </row>
    <row r="1141" spans="45:46" x14ac:dyDescent="0.25">
      <c r="AS1141"/>
      <c r="AT1141"/>
    </row>
    <row r="1142" spans="45:46" x14ac:dyDescent="0.25">
      <c r="AS1142"/>
      <c r="AT1142"/>
    </row>
    <row r="1143" spans="45:46" x14ac:dyDescent="0.25">
      <c r="AS1143"/>
      <c r="AT1143"/>
    </row>
    <row r="1144" spans="45:46" x14ac:dyDescent="0.25">
      <c r="AS1144"/>
      <c r="AT1144"/>
    </row>
    <row r="1145" spans="45:46" x14ac:dyDescent="0.25">
      <c r="AS1145"/>
      <c r="AT1145"/>
    </row>
    <row r="1146" spans="45:46" x14ac:dyDescent="0.25">
      <c r="AS1146"/>
      <c r="AT1146"/>
    </row>
    <row r="1147" spans="45:46" x14ac:dyDescent="0.25">
      <c r="AS1147"/>
      <c r="AT1147"/>
    </row>
    <row r="1148" spans="45:46" x14ac:dyDescent="0.25">
      <c r="AS1148"/>
      <c r="AT1148"/>
    </row>
    <row r="1149" spans="45:46" x14ac:dyDescent="0.25">
      <c r="AS1149"/>
      <c r="AT1149"/>
    </row>
    <row r="1150" spans="45:46" x14ac:dyDescent="0.25">
      <c r="AS1150"/>
      <c r="AT1150"/>
    </row>
    <row r="1151" spans="45:46" x14ac:dyDescent="0.25">
      <c r="AS1151"/>
      <c r="AT1151"/>
    </row>
    <row r="1152" spans="45:46" x14ac:dyDescent="0.25">
      <c r="AS1152"/>
      <c r="AT1152"/>
    </row>
    <row r="1153" spans="45:46" x14ac:dyDescent="0.25">
      <c r="AS1153"/>
      <c r="AT1153"/>
    </row>
    <row r="1154" spans="45:46" x14ac:dyDescent="0.25">
      <c r="AS1154"/>
      <c r="AT1154"/>
    </row>
    <row r="1155" spans="45:46" x14ac:dyDescent="0.25">
      <c r="AS1155"/>
      <c r="AT1155"/>
    </row>
    <row r="1156" spans="45:46" x14ac:dyDescent="0.25">
      <c r="AS1156"/>
      <c r="AT1156"/>
    </row>
    <row r="1157" spans="45:46" x14ac:dyDescent="0.25">
      <c r="AS1157"/>
      <c r="AT1157"/>
    </row>
    <row r="1158" spans="45:46" x14ac:dyDescent="0.25">
      <c r="AS1158"/>
      <c r="AT1158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945CF-908A-410E-A326-85BB4939CCF9}">
  <dimension ref="A1:L136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F12" sqref="F12"/>
    </sheetView>
  </sheetViews>
  <sheetFormatPr defaultRowHeight="15" x14ac:dyDescent="0.25"/>
  <cols>
    <col min="1" max="1" width="17.28515625" bestFit="1" customWidth="1"/>
    <col min="2" max="2" width="9.140625" bestFit="1" customWidth="1"/>
    <col min="3" max="3" width="12.42578125" bestFit="1" customWidth="1"/>
    <col min="4" max="4" width="19.28515625" bestFit="1" customWidth="1"/>
    <col min="5" max="5" width="9.140625" bestFit="1" customWidth="1"/>
    <col min="6" max="6" width="13.140625" bestFit="1" customWidth="1"/>
    <col min="7" max="7" width="9.140625" bestFit="1" customWidth="1"/>
    <col min="8" max="8" width="8.140625" bestFit="1" customWidth="1"/>
    <col min="9" max="9" width="12.42578125" bestFit="1" customWidth="1"/>
    <col min="10" max="10" width="9" bestFit="1" customWidth="1"/>
    <col min="11" max="12" width="9.85546875" bestFit="1" customWidth="1"/>
    <col min="19" max="20" width="10.5703125" bestFit="1" customWidth="1"/>
  </cols>
  <sheetData>
    <row r="1" spans="1:12" x14ac:dyDescent="0.25">
      <c r="A1" s="32" t="s">
        <v>26</v>
      </c>
      <c r="B1" s="33" t="s">
        <v>39</v>
      </c>
    </row>
    <row r="2" spans="1:12" x14ac:dyDescent="0.25">
      <c r="A2" s="32" t="s">
        <v>22</v>
      </c>
      <c r="B2" s="33" t="s">
        <v>39</v>
      </c>
    </row>
    <row r="3" spans="1:12" x14ac:dyDescent="0.25">
      <c r="A3" s="32" t="s">
        <v>3</v>
      </c>
      <c r="B3" s="33" t="s">
        <v>39</v>
      </c>
    </row>
    <row r="4" spans="1:12" x14ac:dyDescent="0.25">
      <c r="A4" s="32" t="s">
        <v>30</v>
      </c>
      <c r="B4" s="33" t="s">
        <v>39</v>
      </c>
    </row>
    <row r="5" spans="1:12" x14ac:dyDescent="0.25">
      <c r="A5" s="32" t="s">
        <v>9</v>
      </c>
      <c r="B5" s="33" t="s">
        <v>39</v>
      </c>
    </row>
    <row r="7" spans="1:12" x14ac:dyDescent="0.25">
      <c r="A7" s="15"/>
      <c r="B7" s="16"/>
      <c r="C7" s="17" t="s">
        <v>8</v>
      </c>
      <c r="D7" s="16"/>
      <c r="E7" s="16"/>
      <c r="F7" s="16"/>
      <c r="G7" s="16"/>
      <c r="H7" s="16"/>
      <c r="I7" s="16"/>
      <c r="J7" s="16"/>
      <c r="K7" s="16"/>
      <c r="L7" s="18"/>
    </row>
    <row r="8" spans="1:12" x14ac:dyDescent="0.25">
      <c r="A8" s="17" t="s">
        <v>6</v>
      </c>
      <c r="B8" s="17" t="s">
        <v>5</v>
      </c>
      <c r="C8" s="15" t="s">
        <v>31</v>
      </c>
      <c r="D8" s="19" t="s">
        <v>176</v>
      </c>
      <c r="E8" s="19" t="s">
        <v>32</v>
      </c>
      <c r="F8" s="19" t="s">
        <v>33</v>
      </c>
      <c r="G8" s="19" t="s">
        <v>34</v>
      </c>
      <c r="H8" s="19" t="s">
        <v>92</v>
      </c>
      <c r="I8" s="19" t="s">
        <v>94</v>
      </c>
      <c r="J8" s="19" t="s">
        <v>93</v>
      </c>
      <c r="K8" s="19" t="s">
        <v>35</v>
      </c>
      <c r="L8" s="20" t="s">
        <v>36</v>
      </c>
    </row>
    <row r="9" spans="1:12" x14ac:dyDescent="0.25">
      <c r="A9" s="15" t="s">
        <v>43</v>
      </c>
      <c r="B9" s="15" t="s">
        <v>43</v>
      </c>
      <c r="C9" s="22"/>
      <c r="D9" s="37"/>
      <c r="E9" s="23"/>
      <c r="F9" s="23"/>
      <c r="G9" s="23"/>
      <c r="H9" s="23"/>
      <c r="I9" s="23"/>
      <c r="J9" s="23"/>
      <c r="K9" s="23"/>
      <c r="L9" s="24"/>
    </row>
    <row r="10" spans="1:12" x14ac:dyDescent="0.25">
      <c r="A10" s="15" t="s">
        <v>44</v>
      </c>
      <c r="B10" s="16"/>
      <c r="C10" s="22"/>
      <c r="D10" s="37"/>
      <c r="E10" s="23"/>
      <c r="F10" s="23"/>
      <c r="G10" s="23"/>
      <c r="H10" s="23"/>
      <c r="I10" s="23"/>
      <c r="J10" s="23"/>
      <c r="K10" s="23"/>
      <c r="L10" s="24"/>
    </row>
    <row r="11" spans="1:12" x14ac:dyDescent="0.25">
      <c r="A11" s="21">
        <v>45691</v>
      </c>
      <c r="B11" s="15" t="s">
        <v>51</v>
      </c>
      <c r="C11" s="22">
        <v>9844.11</v>
      </c>
      <c r="D11" s="37">
        <v>9844.11</v>
      </c>
      <c r="E11" s="23">
        <v>393.76</v>
      </c>
      <c r="F11" s="23">
        <v>0</v>
      </c>
      <c r="G11" s="23">
        <v>0</v>
      </c>
      <c r="H11" s="23">
        <v>0</v>
      </c>
      <c r="I11" s="23">
        <v>14063.02</v>
      </c>
      <c r="J11" s="23">
        <v>0</v>
      </c>
      <c r="K11" s="23">
        <v>155.93</v>
      </c>
      <c r="L11" s="24">
        <v>718.23</v>
      </c>
    </row>
    <row r="12" spans="1:12" x14ac:dyDescent="0.25">
      <c r="A12" s="35"/>
      <c r="B12" s="34" t="s">
        <v>52</v>
      </c>
      <c r="C12" s="26">
        <v>9844.11</v>
      </c>
      <c r="D12" s="38">
        <v>0</v>
      </c>
      <c r="E12" s="9">
        <v>0</v>
      </c>
      <c r="F12" s="9">
        <v>9844.11</v>
      </c>
      <c r="G12" s="9">
        <v>0</v>
      </c>
      <c r="H12" s="9">
        <v>0</v>
      </c>
      <c r="I12" s="9">
        <v>9844.11</v>
      </c>
      <c r="J12" s="9">
        <v>0</v>
      </c>
      <c r="K12" s="9">
        <v>0</v>
      </c>
      <c r="L12" s="27">
        <v>0</v>
      </c>
    </row>
    <row r="13" spans="1:12" x14ac:dyDescent="0.25">
      <c r="A13" s="35"/>
      <c r="B13" s="34" t="s">
        <v>37</v>
      </c>
      <c r="C13" s="26">
        <v>3479.9</v>
      </c>
      <c r="D13" s="38">
        <v>3479.9</v>
      </c>
      <c r="E13" s="9">
        <v>139.19999999999999</v>
      </c>
      <c r="F13" s="9">
        <v>0</v>
      </c>
      <c r="G13" s="9">
        <v>0</v>
      </c>
      <c r="H13" s="9">
        <v>0</v>
      </c>
      <c r="I13" s="9">
        <v>3479.9</v>
      </c>
      <c r="J13" s="9">
        <v>0</v>
      </c>
      <c r="K13" s="9">
        <v>55.13</v>
      </c>
      <c r="L13" s="27">
        <v>253.88</v>
      </c>
    </row>
    <row r="14" spans="1:12" x14ac:dyDescent="0.25">
      <c r="A14" s="35"/>
      <c r="B14" s="34" t="s">
        <v>38</v>
      </c>
      <c r="C14" s="26">
        <v>3479.9</v>
      </c>
      <c r="D14" s="38">
        <v>0</v>
      </c>
      <c r="E14" s="9">
        <v>0</v>
      </c>
      <c r="F14" s="9">
        <v>0</v>
      </c>
      <c r="G14" s="9">
        <v>3479.9</v>
      </c>
      <c r="H14" s="9">
        <v>0</v>
      </c>
      <c r="I14" s="9">
        <v>3479.9</v>
      </c>
      <c r="J14" s="9">
        <v>0</v>
      </c>
      <c r="K14" s="9">
        <v>0</v>
      </c>
      <c r="L14" s="27">
        <v>0</v>
      </c>
    </row>
    <row r="15" spans="1:12" x14ac:dyDescent="0.25">
      <c r="A15" s="35"/>
      <c r="B15" s="34" t="s">
        <v>67</v>
      </c>
      <c r="C15" s="26">
        <v>85.02</v>
      </c>
      <c r="D15" s="38">
        <v>85.02</v>
      </c>
      <c r="E15" s="9">
        <v>3.4</v>
      </c>
      <c r="F15" s="9">
        <v>0</v>
      </c>
      <c r="G15" s="9">
        <v>0</v>
      </c>
      <c r="H15" s="9">
        <v>0</v>
      </c>
      <c r="I15" s="9">
        <v>85.02</v>
      </c>
      <c r="J15" s="9">
        <v>0</v>
      </c>
      <c r="K15" s="9">
        <v>1.35</v>
      </c>
      <c r="L15" s="27">
        <v>6.2</v>
      </c>
    </row>
    <row r="16" spans="1:12" x14ac:dyDescent="0.25">
      <c r="A16" s="35"/>
      <c r="B16" s="34" t="s">
        <v>65</v>
      </c>
      <c r="C16" s="26">
        <v>80036.460000000006</v>
      </c>
      <c r="D16" s="38">
        <v>80036.460000000006</v>
      </c>
      <c r="E16" s="9">
        <v>3201.47</v>
      </c>
      <c r="F16" s="9">
        <v>0</v>
      </c>
      <c r="G16" s="9">
        <v>0</v>
      </c>
      <c r="H16" s="9">
        <v>0</v>
      </c>
      <c r="I16" s="9">
        <v>79965.27</v>
      </c>
      <c r="J16" s="9">
        <v>0</v>
      </c>
      <c r="K16" s="9">
        <v>1272.0399999999997</v>
      </c>
      <c r="L16" s="27">
        <v>5859.21</v>
      </c>
    </row>
    <row r="17" spans="1:12" x14ac:dyDescent="0.25">
      <c r="A17" s="35"/>
      <c r="B17" s="34" t="s">
        <v>69</v>
      </c>
      <c r="C17" s="26">
        <v>55</v>
      </c>
      <c r="D17" s="38">
        <v>55</v>
      </c>
      <c r="E17" s="9">
        <v>2.2000000000000002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0.88</v>
      </c>
      <c r="L17" s="27">
        <v>4.01</v>
      </c>
    </row>
    <row r="18" spans="1:12" x14ac:dyDescent="0.25">
      <c r="A18" s="35"/>
      <c r="B18" s="34" t="s">
        <v>180</v>
      </c>
      <c r="C18" s="26">
        <v>9240.8000000000011</v>
      </c>
      <c r="D18" s="38">
        <v>9240.8000000000011</v>
      </c>
      <c r="E18" s="9">
        <v>369.63</v>
      </c>
      <c r="F18" s="9">
        <v>0</v>
      </c>
      <c r="G18" s="9">
        <v>0</v>
      </c>
      <c r="H18" s="9">
        <v>0</v>
      </c>
      <c r="I18" s="9">
        <v>9240.8000000000011</v>
      </c>
      <c r="J18" s="9">
        <v>0</v>
      </c>
      <c r="K18" s="9">
        <v>146.38</v>
      </c>
      <c r="L18" s="27">
        <v>674.21</v>
      </c>
    </row>
    <row r="19" spans="1:12" x14ac:dyDescent="0.25">
      <c r="A19" s="35"/>
      <c r="B19" s="34" t="s">
        <v>184</v>
      </c>
      <c r="C19" s="26">
        <v>650.30999999999995</v>
      </c>
      <c r="D19" s="38">
        <v>0</v>
      </c>
      <c r="E19" s="9">
        <v>0</v>
      </c>
      <c r="F19" s="9">
        <v>650.30999999999995</v>
      </c>
      <c r="G19" s="9">
        <v>0</v>
      </c>
      <c r="H19" s="9">
        <v>0</v>
      </c>
      <c r="I19" s="9">
        <v>650.30999999999995</v>
      </c>
      <c r="J19" s="9">
        <v>0</v>
      </c>
      <c r="K19" s="9">
        <v>10.74</v>
      </c>
      <c r="L19" s="27">
        <v>49.42</v>
      </c>
    </row>
    <row r="20" spans="1:12" x14ac:dyDescent="0.25">
      <c r="A20" s="15" t="s">
        <v>371</v>
      </c>
      <c r="B20" s="16"/>
      <c r="C20" s="22">
        <v>116715.61000000002</v>
      </c>
      <c r="D20" s="37">
        <v>102741.29000000001</v>
      </c>
      <c r="E20" s="23">
        <v>4109.66</v>
      </c>
      <c r="F20" s="23">
        <v>10494.42</v>
      </c>
      <c r="G20" s="23">
        <v>3479.9</v>
      </c>
      <c r="H20" s="23">
        <v>0</v>
      </c>
      <c r="I20" s="23">
        <v>120808.33</v>
      </c>
      <c r="J20" s="23">
        <v>0</v>
      </c>
      <c r="K20" s="23">
        <v>1642.45</v>
      </c>
      <c r="L20" s="24">
        <v>7565.1600000000008</v>
      </c>
    </row>
    <row r="21" spans="1:12" x14ac:dyDescent="0.25">
      <c r="A21" s="21">
        <v>45692</v>
      </c>
      <c r="B21" s="15" t="s">
        <v>51</v>
      </c>
      <c r="C21" s="22">
        <v>14548.480000000001</v>
      </c>
      <c r="D21" s="37">
        <v>14095.11</v>
      </c>
      <c r="E21" s="23">
        <v>563.79999999999995</v>
      </c>
      <c r="F21" s="23">
        <v>0</v>
      </c>
      <c r="G21" s="23">
        <v>0</v>
      </c>
      <c r="H21" s="23">
        <v>453.37</v>
      </c>
      <c r="I21" s="23">
        <v>145.11000000000001</v>
      </c>
      <c r="J21" s="23">
        <v>0</v>
      </c>
      <c r="K21" s="23">
        <v>223.27</v>
      </c>
      <c r="L21" s="24">
        <v>1028.3899999999999</v>
      </c>
    </row>
    <row r="22" spans="1:12" x14ac:dyDescent="0.25">
      <c r="A22" s="35"/>
      <c r="B22" s="34" t="s">
        <v>52</v>
      </c>
      <c r="C22" s="26">
        <v>14095.11</v>
      </c>
      <c r="D22" s="38">
        <v>0</v>
      </c>
      <c r="E22" s="9">
        <v>0</v>
      </c>
      <c r="F22" s="9">
        <v>14095.11</v>
      </c>
      <c r="G22" s="9">
        <v>0</v>
      </c>
      <c r="H22" s="9">
        <v>0</v>
      </c>
      <c r="I22" s="9">
        <v>14095.11</v>
      </c>
      <c r="J22" s="9">
        <v>0</v>
      </c>
      <c r="K22" s="9">
        <v>0</v>
      </c>
      <c r="L22" s="27">
        <v>0</v>
      </c>
    </row>
    <row r="23" spans="1:12" x14ac:dyDescent="0.25">
      <c r="A23" s="35"/>
      <c r="B23" s="34" t="s">
        <v>37</v>
      </c>
      <c r="C23" s="26">
        <v>2017.4</v>
      </c>
      <c r="D23" s="38">
        <v>2017.4</v>
      </c>
      <c r="E23" s="9">
        <v>80.7</v>
      </c>
      <c r="F23" s="9">
        <v>0</v>
      </c>
      <c r="G23" s="9">
        <v>0</v>
      </c>
      <c r="H23" s="9">
        <v>0</v>
      </c>
      <c r="I23" s="9">
        <v>2017.4</v>
      </c>
      <c r="J23" s="9">
        <v>0</v>
      </c>
      <c r="K23" s="9">
        <v>31.95</v>
      </c>
      <c r="L23" s="27">
        <v>147.18</v>
      </c>
    </row>
    <row r="24" spans="1:12" x14ac:dyDescent="0.25">
      <c r="A24" s="35"/>
      <c r="B24" s="34" t="s">
        <v>38</v>
      </c>
      <c r="C24" s="26">
        <v>2017.4</v>
      </c>
      <c r="D24" s="38">
        <v>0</v>
      </c>
      <c r="E24" s="9">
        <v>0</v>
      </c>
      <c r="F24" s="9">
        <v>0</v>
      </c>
      <c r="G24" s="9">
        <v>2017.4</v>
      </c>
      <c r="H24" s="9">
        <v>0</v>
      </c>
      <c r="I24" s="9">
        <v>2017.4</v>
      </c>
      <c r="J24" s="9">
        <v>0</v>
      </c>
      <c r="K24" s="9">
        <v>0</v>
      </c>
      <c r="L24" s="27">
        <v>0</v>
      </c>
    </row>
    <row r="25" spans="1:12" x14ac:dyDescent="0.25">
      <c r="A25" s="35"/>
      <c r="B25" s="34" t="s">
        <v>67</v>
      </c>
      <c r="C25" s="26">
        <v>283.39</v>
      </c>
      <c r="D25" s="38">
        <v>283.39</v>
      </c>
      <c r="E25" s="9">
        <v>11.34</v>
      </c>
      <c r="F25" s="9">
        <v>0</v>
      </c>
      <c r="G25" s="9">
        <v>0</v>
      </c>
      <c r="H25" s="9">
        <v>0</v>
      </c>
      <c r="I25" s="9">
        <v>283.39</v>
      </c>
      <c r="J25" s="9">
        <v>0</v>
      </c>
      <c r="K25" s="9">
        <v>4.49</v>
      </c>
      <c r="L25" s="27">
        <v>20.68</v>
      </c>
    </row>
    <row r="26" spans="1:12" x14ac:dyDescent="0.25">
      <c r="A26" s="35"/>
      <c r="B26" s="34" t="s">
        <v>65</v>
      </c>
      <c r="C26" s="26">
        <v>73166.309999999983</v>
      </c>
      <c r="D26" s="38">
        <v>73166.309999999983</v>
      </c>
      <c r="E26" s="9">
        <v>2926.6499999999996</v>
      </c>
      <c r="F26" s="9">
        <v>0</v>
      </c>
      <c r="G26" s="9">
        <v>0</v>
      </c>
      <c r="H26" s="9">
        <v>0</v>
      </c>
      <c r="I26" s="9">
        <v>73108.149999999994</v>
      </c>
      <c r="J26" s="9">
        <v>0</v>
      </c>
      <c r="K26" s="9">
        <v>1158.98</v>
      </c>
      <c r="L26" s="27">
        <v>5338.2100000000009</v>
      </c>
    </row>
    <row r="27" spans="1:12" x14ac:dyDescent="0.25">
      <c r="A27" s="35"/>
      <c r="B27" s="34" t="s">
        <v>69</v>
      </c>
      <c r="C27" s="26">
        <v>38.4</v>
      </c>
      <c r="D27" s="38">
        <v>38.4</v>
      </c>
      <c r="E27" s="9">
        <v>1.54</v>
      </c>
      <c r="F27" s="9">
        <v>0</v>
      </c>
      <c r="G27" s="9">
        <v>0</v>
      </c>
      <c r="H27" s="9">
        <v>0</v>
      </c>
      <c r="I27" s="9">
        <v>0</v>
      </c>
      <c r="J27" s="9">
        <v>0</v>
      </c>
      <c r="K27" s="9">
        <v>0.61</v>
      </c>
      <c r="L27" s="27">
        <v>2.79</v>
      </c>
    </row>
    <row r="28" spans="1:12" x14ac:dyDescent="0.25">
      <c r="A28" s="35"/>
      <c r="B28" s="34" t="s">
        <v>180</v>
      </c>
      <c r="C28" s="26">
        <v>45571.499999999993</v>
      </c>
      <c r="D28" s="38">
        <v>45571.499999999993</v>
      </c>
      <c r="E28" s="9">
        <v>2473.36</v>
      </c>
      <c r="F28" s="9">
        <v>0</v>
      </c>
      <c r="G28" s="9">
        <v>0</v>
      </c>
      <c r="H28" s="9">
        <v>0</v>
      </c>
      <c r="I28" s="9">
        <v>45571.499999999993</v>
      </c>
      <c r="J28" s="9">
        <v>0</v>
      </c>
      <c r="K28" s="9">
        <v>711.1</v>
      </c>
      <c r="L28" s="27">
        <v>3275.4300000000003</v>
      </c>
    </row>
    <row r="29" spans="1:12" x14ac:dyDescent="0.25">
      <c r="A29" s="15" t="s">
        <v>372</v>
      </c>
      <c r="B29" s="16"/>
      <c r="C29" s="22">
        <v>151737.99</v>
      </c>
      <c r="D29" s="37">
        <v>135172.10999999999</v>
      </c>
      <c r="E29" s="23">
        <v>6057.3899999999994</v>
      </c>
      <c r="F29" s="23">
        <v>14095.11</v>
      </c>
      <c r="G29" s="23">
        <v>2017.4</v>
      </c>
      <c r="H29" s="23">
        <v>453.37</v>
      </c>
      <c r="I29" s="23">
        <v>137238.06</v>
      </c>
      <c r="J29" s="23">
        <v>0</v>
      </c>
      <c r="K29" s="23">
        <v>2130.4</v>
      </c>
      <c r="L29" s="24">
        <v>9812.68</v>
      </c>
    </row>
    <row r="30" spans="1:12" x14ac:dyDescent="0.25">
      <c r="A30" s="21">
        <v>45693</v>
      </c>
      <c r="B30" s="15" t="s">
        <v>48</v>
      </c>
      <c r="C30" s="22">
        <v>-34415.93</v>
      </c>
      <c r="D30" s="37">
        <v>0</v>
      </c>
      <c r="E30" s="23">
        <v>0</v>
      </c>
      <c r="F30" s="23">
        <v>-34415.93</v>
      </c>
      <c r="G30" s="23">
        <v>0</v>
      </c>
      <c r="H30" s="23">
        <v>0</v>
      </c>
      <c r="I30" s="23">
        <v>-34415.93</v>
      </c>
      <c r="J30" s="23">
        <v>0</v>
      </c>
      <c r="K30" s="23">
        <v>0</v>
      </c>
      <c r="L30" s="24">
        <v>0</v>
      </c>
    </row>
    <row r="31" spans="1:12" x14ac:dyDescent="0.25">
      <c r="A31" s="35"/>
      <c r="B31" s="34" t="s">
        <v>67</v>
      </c>
      <c r="C31" s="26">
        <v>311.82</v>
      </c>
      <c r="D31" s="38">
        <v>311.82</v>
      </c>
      <c r="E31" s="9">
        <v>12.47</v>
      </c>
      <c r="F31" s="9">
        <v>0</v>
      </c>
      <c r="G31" s="9">
        <v>0</v>
      </c>
      <c r="H31" s="9">
        <v>0</v>
      </c>
      <c r="I31" s="9">
        <v>311.82</v>
      </c>
      <c r="J31" s="9">
        <v>0</v>
      </c>
      <c r="K31" s="9">
        <v>4.96</v>
      </c>
      <c r="L31" s="27">
        <v>22.75</v>
      </c>
    </row>
    <row r="32" spans="1:12" x14ac:dyDescent="0.25">
      <c r="A32" s="35"/>
      <c r="B32" s="34" t="s">
        <v>65</v>
      </c>
      <c r="C32" s="26">
        <v>27828.49</v>
      </c>
      <c r="D32" s="38">
        <v>27828.49</v>
      </c>
      <c r="E32" s="9">
        <v>1113.1299999999999</v>
      </c>
      <c r="F32" s="9">
        <v>0</v>
      </c>
      <c r="G32" s="9">
        <v>0</v>
      </c>
      <c r="H32" s="9">
        <v>0</v>
      </c>
      <c r="I32" s="9">
        <v>27716.57</v>
      </c>
      <c r="J32" s="9">
        <v>0</v>
      </c>
      <c r="K32" s="9">
        <v>440.80999999999995</v>
      </c>
      <c r="L32" s="27">
        <v>2030.3999999999999</v>
      </c>
    </row>
    <row r="33" spans="1:12" x14ac:dyDescent="0.25">
      <c r="A33" s="35"/>
      <c r="B33" s="34" t="s">
        <v>69</v>
      </c>
      <c r="C33" s="26">
        <v>10</v>
      </c>
      <c r="D33" s="38">
        <v>10</v>
      </c>
      <c r="E33" s="9">
        <v>0.4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0.16</v>
      </c>
      <c r="L33" s="27">
        <v>0.73</v>
      </c>
    </row>
    <row r="34" spans="1:12" x14ac:dyDescent="0.25">
      <c r="A34" s="35"/>
      <c r="B34" s="34" t="s">
        <v>180</v>
      </c>
      <c r="C34" s="26">
        <v>35410.94</v>
      </c>
      <c r="D34" s="38">
        <v>35410.94</v>
      </c>
      <c r="E34" s="9">
        <v>1497.5700000000002</v>
      </c>
      <c r="F34" s="9">
        <v>0</v>
      </c>
      <c r="G34" s="9">
        <v>0</v>
      </c>
      <c r="H34" s="9">
        <v>0</v>
      </c>
      <c r="I34" s="9">
        <v>35410.94</v>
      </c>
      <c r="J34" s="9">
        <v>0</v>
      </c>
      <c r="K34" s="9">
        <v>559.58000000000004</v>
      </c>
      <c r="L34" s="27">
        <v>2577.42</v>
      </c>
    </row>
    <row r="35" spans="1:12" x14ac:dyDescent="0.25">
      <c r="A35" s="15" t="s">
        <v>373</v>
      </c>
      <c r="B35" s="16"/>
      <c r="C35" s="22">
        <v>29145.320000000003</v>
      </c>
      <c r="D35" s="37">
        <v>63561.25</v>
      </c>
      <c r="E35" s="23">
        <v>2623.57</v>
      </c>
      <c r="F35" s="23">
        <v>-34415.93</v>
      </c>
      <c r="G35" s="23">
        <v>0</v>
      </c>
      <c r="H35" s="23">
        <v>0</v>
      </c>
      <c r="I35" s="23">
        <v>29023.4</v>
      </c>
      <c r="J35" s="23">
        <v>0</v>
      </c>
      <c r="K35" s="23">
        <v>1005.51</v>
      </c>
      <c r="L35" s="24">
        <v>4631.2999999999993</v>
      </c>
    </row>
    <row r="36" spans="1:12" x14ac:dyDescent="0.25">
      <c r="A36" s="21">
        <v>45694</v>
      </c>
      <c r="B36" s="15" t="s">
        <v>51</v>
      </c>
      <c r="C36" s="22">
        <v>12642.059999999998</v>
      </c>
      <c r="D36" s="37">
        <v>12642.059999999998</v>
      </c>
      <c r="E36" s="23">
        <v>505.69</v>
      </c>
      <c r="F36" s="23">
        <v>0</v>
      </c>
      <c r="G36" s="23">
        <v>0</v>
      </c>
      <c r="H36" s="23">
        <v>0</v>
      </c>
      <c r="I36" s="23">
        <v>12642.059999999998</v>
      </c>
      <c r="J36" s="23">
        <v>0</v>
      </c>
      <c r="K36" s="23">
        <v>200.28</v>
      </c>
      <c r="L36" s="24">
        <v>922.36999999999989</v>
      </c>
    </row>
    <row r="37" spans="1:12" x14ac:dyDescent="0.25">
      <c r="A37" s="35"/>
      <c r="B37" s="34" t="s">
        <v>52</v>
      </c>
      <c r="C37" s="26">
        <v>12642.059999999998</v>
      </c>
      <c r="D37" s="38">
        <v>0</v>
      </c>
      <c r="E37" s="9">
        <v>0</v>
      </c>
      <c r="F37" s="9">
        <v>12642.059999999998</v>
      </c>
      <c r="G37" s="9">
        <v>0</v>
      </c>
      <c r="H37" s="9">
        <v>0</v>
      </c>
      <c r="I37" s="9">
        <v>12642.059999999998</v>
      </c>
      <c r="J37" s="9">
        <v>0</v>
      </c>
      <c r="K37" s="9">
        <v>0</v>
      </c>
      <c r="L37" s="27">
        <v>0</v>
      </c>
    </row>
    <row r="38" spans="1:12" x14ac:dyDescent="0.25">
      <c r="A38" s="35"/>
      <c r="B38" s="34" t="s">
        <v>48</v>
      </c>
      <c r="C38" s="26">
        <v>-9426.5400000000009</v>
      </c>
      <c r="D38" s="38">
        <v>0</v>
      </c>
      <c r="E38" s="9">
        <v>0</v>
      </c>
      <c r="F38" s="9">
        <v>-9426.5400000000009</v>
      </c>
      <c r="G38" s="9">
        <v>0</v>
      </c>
      <c r="H38" s="9">
        <v>0</v>
      </c>
      <c r="I38" s="9">
        <v>-9426.5400000000009</v>
      </c>
      <c r="J38" s="9">
        <v>0</v>
      </c>
      <c r="K38" s="9">
        <v>0</v>
      </c>
      <c r="L38" s="27">
        <v>0</v>
      </c>
    </row>
    <row r="39" spans="1:12" x14ac:dyDescent="0.25">
      <c r="A39" s="35"/>
      <c r="B39" s="34" t="s">
        <v>65</v>
      </c>
      <c r="C39" s="26">
        <v>111729.12</v>
      </c>
      <c r="D39" s="38">
        <v>111729.12</v>
      </c>
      <c r="E39" s="9">
        <v>4469.1499999999996</v>
      </c>
      <c r="F39" s="9">
        <v>0</v>
      </c>
      <c r="G39" s="9">
        <v>0</v>
      </c>
      <c r="H39" s="9">
        <v>0</v>
      </c>
      <c r="I39" s="9">
        <v>111729.12</v>
      </c>
      <c r="J39" s="9">
        <v>0</v>
      </c>
      <c r="K39" s="9">
        <v>1769.79</v>
      </c>
      <c r="L39" s="27">
        <v>8151.75</v>
      </c>
    </row>
    <row r="40" spans="1:12" x14ac:dyDescent="0.25">
      <c r="A40" s="35"/>
      <c r="B40" s="34" t="s">
        <v>69</v>
      </c>
      <c r="C40" s="26">
        <v>45</v>
      </c>
      <c r="D40" s="38">
        <v>45</v>
      </c>
      <c r="E40" s="9">
        <v>1.8</v>
      </c>
      <c r="F40" s="9">
        <v>0</v>
      </c>
      <c r="G40" s="9">
        <v>0</v>
      </c>
      <c r="H40" s="9">
        <v>0</v>
      </c>
      <c r="I40" s="9">
        <v>0</v>
      </c>
      <c r="J40" s="9">
        <v>0</v>
      </c>
      <c r="K40" s="9">
        <v>0.72</v>
      </c>
      <c r="L40" s="27">
        <v>3.27</v>
      </c>
    </row>
    <row r="41" spans="1:12" x14ac:dyDescent="0.25">
      <c r="A41" s="35"/>
      <c r="B41" s="34" t="s">
        <v>180</v>
      </c>
      <c r="C41" s="26">
        <v>27001.65</v>
      </c>
      <c r="D41" s="38">
        <v>26511.35</v>
      </c>
      <c r="E41" s="9">
        <v>1067.3600000000001</v>
      </c>
      <c r="F41" s="9">
        <v>0</v>
      </c>
      <c r="G41" s="9">
        <v>0</v>
      </c>
      <c r="H41" s="9">
        <v>490.3</v>
      </c>
      <c r="I41" s="9">
        <v>11424.92</v>
      </c>
      <c r="J41" s="9">
        <v>0</v>
      </c>
      <c r="K41" s="9">
        <v>419.83</v>
      </c>
      <c r="L41" s="27">
        <v>1933.74</v>
      </c>
    </row>
    <row r="42" spans="1:12" x14ac:dyDescent="0.25">
      <c r="A42" s="15" t="s">
        <v>374</v>
      </c>
      <c r="B42" s="16"/>
      <c r="C42" s="22">
        <v>154633.34999999998</v>
      </c>
      <c r="D42" s="37">
        <v>150927.53</v>
      </c>
      <c r="E42" s="23">
        <v>6044</v>
      </c>
      <c r="F42" s="23">
        <v>3215.5199999999968</v>
      </c>
      <c r="G42" s="23">
        <v>0</v>
      </c>
      <c r="H42" s="23">
        <v>490.3</v>
      </c>
      <c r="I42" s="23">
        <v>139011.62</v>
      </c>
      <c r="J42" s="23">
        <v>0</v>
      </c>
      <c r="K42" s="23">
        <v>2390.62</v>
      </c>
      <c r="L42" s="24">
        <v>11011.13</v>
      </c>
    </row>
    <row r="43" spans="1:12" x14ac:dyDescent="0.25">
      <c r="A43" s="21">
        <v>45695</v>
      </c>
      <c r="B43" s="15" t="s">
        <v>54</v>
      </c>
      <c r="C43" s="22">
        <v>5396</v>
      </c>
      <c r="D43" s="37">
        <v>5396</v>
      </c>
      <c r="E43" s="23">
        <v>215.84</v>
      </c>
      <c r="F43" s="23">
        <v>0</v>
      </c>
      <c r="G43" s="23">
        <v>0</v>
      </c>
      <c r="H43" s="23">
        <v>0</v>
      </c>
      <c r="I43" s="23">
        <v>5396</v>
      </c>
      <c r="J43" s="23">
        <v>0</v>
      </c>
      <c r="K43" s="23">
        <v>85.47</v>
      </c>
      <c r="L43" s="24">
        <v>393.69</v>
      </c>
    </row>
    <row r="44" spans="1:12" x14ac:dyDescent="0.25">
      <c r="A44" s="35"/>
      <c r="B44" s="34" t="s">
        <v>65</v>
      </c>
      <c r="C44" s="26">
        <v>46817.95</v>
      </c>
      <c r="D44" s="38">
        <v>46817.95</v>
      </c>
      <c r="E44" s="9">
        <v>1872.71</v>
      </c>
      <c r="F44" s="9">
        <v>0</v>
      </c>
      <c r="G44" s="9">
        <v>0</v>
      </c>
      <c r="H44" s="9">
        <v>0</v>
      </c>
      <c r="I44" s="9">
        <v>46717.95</v>
      </c>
      <c r="J44" s="9">
        <v>0</v>
      </c>
      <c r="K44" s="9">
        <v>741.58</v>
      </c>
      <c r="L44" s="27">
        <v>3415.84</v>
      </c>
    </row>
    <row r="45" spans="1:12" x14ac:dyDescent="0.25">
      <c r="A45" s="35"/>
      <c r="B45" s="34" t="s">
        <v>69</v>
      </c>
      <c r="C45" s="26">
        <v>30</v>
      </c>
      <c r="D45" s="38">
        <v>30</v>
      </c>
      <c r="E45" s="9">
        <v>1.2</v>
      </c>
      <c r="F45" s="9">
        <v>0</v>
      </c>
      <c r="G45" s="9">
        <v>0</v>
      </c>
      <c r="H45" s="9">
        <v>0</v>
      </c>
      <c r="I45" s="9">
        <v>0</v>
      </c>
      <c r="J45" s="9">
        <v>0</v>
      </c>
      <c r="K45" s="9">
        <v>0.48</v>
      </c>
      <c r="L45" s="27">
        <v>2.19</v>
      </c>
    </row>
    <row r="46" spans="1:12" x14ac:dyDescent="0.25">
      <c r="A46" s="35"/>
      <c r="B46" s="34" t="s">
        <v>184</v>
      </c>
      <c r="C46" s="26">
        <v>308.24</v>
      </c>
      <c r="D46" s="38">
        <v>0</v>
      </c>
      <c r="E46" s="9">
        <v>0</v>
      </c>
      <c r="F46" s="9">
        <v>308.24</v>
      </c>
      <c r="G46" s="9">
        <v>0</v>
      </c>
      <c r="H46" s="9">
        <v>0</v>
      </c>
      <c r="I46" s="9">
        <v>308.24</v>
      </c>
      <c r="J46" s="9">
        <v>0</v>
      </c>
      <c r="K46" s="9">
        <v>5.09</v>
      </c>
      <c r="L46" s="27">
        <v>23.43</v>
      </c>
    </row>
    <row r="47" spans="1:12" x14ac:dyDescent="0.25">
      <c r="A47" s="35"/>
      <c r="B47" s="34" t="s">
        <v>239</v>
      </c>
      <c r="C47" s="26">
        <v>5396</v>
      </c>
      <c r="D47" s="38">
        <v>0</v>
      </c>
      <c r="E47" s="9">
        <v>0</v>
      </c>
      <c r="F47" s="9">
        <v>5396</v>
      </c>
      <c r="G47" s="9">
        <v>0</v>
      </c>
      <c r="H47" s="9">
        <v>0</v>
      </c>
      <c r="I47" s="9">
        <v>5396</v>
      </c>
      <c r="J47" s="9">
        <v>0</v>
      </c>
      <c r="K47" s="9">
        <v>0</v>
      </c>
      <c r="L47" s="27">
        <v>0</v>
      </c>
    </row>
    <row r="48" spans="1:12" x14ac:dyDescent="0.25">
      <c r="A48" s="15" t="s">
        <v>375</v>
      </c>
      <c r="B48" s="16"/>
      <c r="C48" s="22">
        <v>57948.189999999995</v>
      </c>
      <c r="D48" s="37">
        <v>52243.95</v>
      </c>
      <c r="E48" s="23">
        <v>2089.75</v>
      </c>
      <c r="F48" s="23">
        <v>5704.24</v>
      </c>
      <c r="G48" s="23">
        <v>0</v>
      </c>
      <c r="H48" s="23">
        <v>0</v>
      </c>
      <c r="I48" s="23">
        <v>57818.189999999995</v>
      </c>
      <c r="J48" s="23">
        <v>0</v>
      </c>
      <c r="K48" s="23">
        <v>832.62000000000012</v>
      </c>
      <c r="L48" s="24">
        <v>3835.15</v>
      </c>
    </row>
    <row r="49" spans="1:12" x14ac:dyDescent="0.25">
      <c r="A49" s="21">
        <v>45696</v>
      </c>
      <c r="B49" s="15" t="s">
        <v>65</v>
      </c>
      <c r="C49" s="22">
        <v>399407.81999999995</v>
      </c>
      <c r="D49" s="37">
        <v>399407.81999999995</v>
      </c>
      <c r="E49" s="23">
        <v>15976.31</v>
      </c>
      <c r="F49" s="23">
        <v>0</v>
      </c>
      <c r="G49" s="23">
        <v>0</v>
      </c>
      <c r="H49" s="23">
        <v>0</v>
      </c>
      <c r="I49" s="23">
        <v>399407.81999999995</v>
      </c>
      <c r="J49" s="23">
        <v>0</v>
      </c>
      <c r="K49" s="23">
        <v>6326.61</v>
      </c>
      <c r="L49" s="24">
        <v>29140.780000000002</v>
      </c>
    </row>
    <row r="50" spans="1:12" x14ac:dyDescent="0.25">
      <c r="A50" s="15" t="s">
        <v>376</v>
      </c>
      <c r="B50" s="16"/>
      <c r="C50" s="22">
        <v>399407.81999999995</v>
      </c>
      <c r="D50" s="37">
        <v>399407.81999999995</v>
      </c>
      <c r="E50" s="23">
        <v>15976.31</v>
      </c>
      <c r="F50" s="23">
        <v>0</v>
      </c>
      <c r="G50" s="23">
        <v>0</v>
      </c>
      <c r="H50" s="23">
        <v>0</v>
      </c>
      <c r="I50" s="23">
        <v>399407.81999999995</v>
      </c>
      <c r="J50" s="23">
        <v>0</v>
      </c>
      <c r="K50" s="23">
        <v>6326.61</v>
      </c>
      <c r="L50" s="24">
        <v>29140.780000000002</v>
      </c>
    </row>
    <row r="51" spans="1:12" x14ac:dyDescent="0.25">
      <c r="A51" s="21">
        <v>45698</v>
      </c>
      <c r="B51" s="15" t="s">
        <v>48</v>
      </c>
      <c r="C51" s="22">
        <v>-767724.92</v>
      </c>
      <c r="D51" s="37">
        <v>0</v>
      </c>
      <c r="E51" s="23">
        <v>0</v>
      </c>
      <c r="F51" s="23">
        <v>-767724.92</v>
      </c>
      <c r="G51" s="23">
        <v>0</v>
      </c>
      <c r="H51" s="23">
        <v>0</v>
      </c>
      <c r="I51" s="23">
        <v>-698183.62</v>
      </c>
      <c r="J51" s="23">
        <v>0</v>
      </c>
      <c r="K51" s="23">
        <v>-11636.39</v>
      </c>
      <c r="L51" s="24">
        <v>-53472.02</v>
      </c>
    </row>
    <row r="52" spans="1:12" x14ac:dyDescent="0.25">
      <c r="A52" s="35"/>
      <c r="B52" s="34" t="s">
        <v>37</v>
      </c>
      <c r="C52" s="26">
        <v>7859.55</v>
      </c>
      <c r="D52" s="38">
        <v>7859.55</v>
      </c>
      <c r="E52" s="9">
        <v>314.38</v>
      </c>
      <c r="F52" s="9">
        <v>0</v>
      </c>
      <c r="G52" s="9">
        <v>0</v>
      </c>
      <c r="H52" s="9">
        <v>0</v>
      </c>
      <c r="I52" s="9">
        <v>7859.55</v>
      </c>
      <c r="J52" s="9">
        <v>0</v>
      </c>
      <c r="K52" s="9">
        <v>124.5</v>
      </c>
      <c r="L52" s="27">
        <v>573.44000000000005</v>
      </c>
    </row>
    <row r="53" spans="1:12" x14ac:dyDescent="0.25">
      <c r="A53" s="35"/>
      <c r="B53" s="34" t="s">
        <v>38</v>
      </c>
      <c r="C53" s="26">
        <v>7859.55</v>
      </c>
      <c r="D53" s="38">
        <v>0</v>
      </c>
      <c r="E53" s="9">
        <v>0</v>
      </c>
      <c r="F53" s="9">
        <v>0</v>
      </c>
      <c r="G53" s="9">
        <v>7859.55</v>
      </c>
      <c r="H53" s="9">
        <v>0</v>
      </c>
      <c r="I53" s="9">
        <v>7859.55</v>
      </c>
      <c r="J53" s="9">
        <v>0</v>
      </c>
      <c r="K53" s="9">
        <v>0</v>
      </c>
      <c r="L53" s="27">
        <v>0</v>
      </c>
    </row>
    <row r="54" spans="1:12" x14ac:dyDescent="0.25">
      <c r="A54" s="35"/>
      <c r="B54" s="34" t="s">
        <v>65</v>
      </c>
      <c r="C54" s="26">
        <v>215189.36000000002</v>
      </c>
      <c r="D54" s="38">
        <v>214152.38999999998</v>
      </c>
      <c r="E54" s="9">
        <v>8566.1</v>
      </c>
      <c r="F54" s="9">
        <v>0</v>
      </c>
      <c r="G54" s="9">
        <v>0</v>
      </c>
      <c r="H54" s="9">
        <v>1036.97</v>
      </c>
      <c r="I54" s="9">
        <v>182123.02</v>
      </c>
      <c r="J54" s="9">
        <v>0</v>
      </c>
      <c r="K54" s="9">
        <v>3392.15</v>
      </c>
      <c r="L54" s="27">
        <v>15624.539999999997</v>
      </c>
    </row>
    <row r="55" spans="1:12" x14ac:dyDescent="0.25">
      <c r="A55" s="35"/>
      <c r="B55" s="34" t="s">
        <v>69</v>
      </c>
      <c r="C55" s="26">
        <v>25.32</v>
      </c>
      <c r="D55" s="38">
        <v>25</v>
      </c>
      <c r="E55" s="9">
        <v>1</v>
      </c>
      <c r="F55" s="9">
        <v>0</v>
      </c>
      <c r="G55" s="9">
        <v>0</v>
      </c>
      <c r="H55" s="9">
        <v>0.32</v>
      </c>
      <c r="I55" s="9">
        <v>0</v>
      </c>
      <c r="J55" s="9">
        <v>0</v>
      </c>
      <c r="K55" s="9">
        <v>0.4</v>
      </c>
      <c r="L55" s="27">
        <v>1.82</v>
      </c>
    </row>
    <row r="56" spans="1:12" x14ac:dyDescent="0.25">
      <c r="A56" s="35"/>
      <c r="B56" s="34" t="s">
        <v>180</v>
      </c>
      <c r="C56" s="26">
        <v>44057.81</v>
      </c>
      <c r="D56" s="38">
        <v>43531.090000000004</v>
      </c>
      <c r="E56" s="9">
        <v>2248.42</v>
      </c>
      <c r="F56" s="9">
        <v>0</v>
      </c>
      <c r="G56" s="9">
        <v>0</v>
      </c>
      <c r="H56" s="9">
        <v>526.71999999999991</v>
      </c>
      <c r="I56" s="9">
        <v>27324.09</v>
      </c>
      <c r="J56" s="9">
        <v>0</v>
      </c>
      <c r="K56" s="9">
        <v>681.17000000000007</v>
      </c>
      <c r="L56" s="27">
        <v>3137.49</v>
      </c>
    </row>
    <row r="57" spans="1:12" x14ac:dyDescent="0.25">
      <c r="A57" s="35"/>
      <c r="B57" s="34" t="s">
        <v>184</v>
      </c>
      <c r="C57" s="26">
        <v>525502.42000000004</v>
      </c>
      <c r="D57" s="38">
        <v>0</v>
      </c>
      <c r="E57" s="9">
        <v>0</v>
      </c>
      <c r="F57" s="9">
        <v>525502.42000000004</v>
      </c>
      <c r="G57" s="9">
        <v>0</v>
      </c>
      <c r="H57" s="9">
        <v>0</v>
      </c>
      <c r="I57" s="9">
        <v>525502.42000000004</v>
      </c>
      <c r="J57" s="9">
        <v>0</v>
      </c>
      <c r="K57" s="9">
        <v>8670.8000000000011</v>
      </c>
      <c r="L57" s="27">
        <v>39938.18</v>
      </c>
    </row>
    <row r="58" spans="1:12" x14ac:dyDescent="0.25">
      <c r="A58" s="15" t="s">
        <v>377</v>
      </c>
      <c r="B58" s="16"/>
      <c r="C58" s="22">
        <v>32769.090000000026</v>
      </c>
      <c r="D58" s="37">
        <v>265568.02999999997</v>
      </c>
      <c r="E58" s="23">
        <v>11129.9</v>
      </c>
      <c r="F58" s="23">
        <v>-242222.5</v>
      </c>
      <c r="G58" s="23">
        <v>7859.55</v>
      </c>
      <c r="H58" s="23">
        <v>1564.0099999999998</v>
      </c>
      <c r="I58" s="23">
        <v>52485.010000000184</v>
      </c>
      <c r="J58" s="23">
        <v>0</v>
      </c>
      <c r="K58" s="23">
        <v>1232.630000000001</v>
      </c>
      <c r="L58" s="24">
        <v>5803.4500000000044</v>
      </c>
    </row>
    <row r="59" spans="1:12" x14ac:dyDescent="0.25">
      <c r="A59" s="21">
        <v>45699</v>
      </c>
      <c r="B59" s="15" t="s">
        <v>48</v>
      </c>
      <c r="C59" s="22">
        <v>-17139.82</v>
      </c>
      <c r="D59" s="37">
        <v>0</v>
      </c>
      <c r="E59" s="23">
        <v>0</v>
      </c>
      <c r="F59" s="23">
        <v>-8947.89</v>
      </c>
      <c r="G59" s="23">
        <v>0</v>
      </c>
      <c r="H59" s="23">
        <v>0</v>
      </c>
      <c r="I59" s="23">
        <v>-17139.82</v>
      </c>
      <c r="J59" s="23">
        <v>0</v>
      </c>
      <c r="K59" s="23">
        <v>0</v>
      </c>
      <c r="L59" s="24">
        <v>0</v>
      </c>
    </row>
    <row r="60" spans="1:12" x14ac:dyDescent="0.25">
      <c r="A60" s="35"/>
      <c r="B60" s="34" t="s">
        <v>45</v>
      </c>
      <c r="C60" s="26">
        <v>-3349.6</v>
      </c>
      <c r="D60" s="38">
        <v>-3349.6</v>
      </c>
      <c r="E60" s="9">
        <v>-133.97999999999999</v>
      </c>
      <c r="F60" s="9">
        <v>0</v>
      </c>
      <c r="G60" s="9">
        <v>0</v>
      </c>
      <c r="H60" s="9">
        <v>0</v>
      </c>
      <c r="I60" s="9">
        <v>0</v>
      </c>
      <c r="J60" s="9">
        <v>0</v>
      </c>
      <c r="K60" s="9">
        <v>-53.06</v>
      </c>
      <c r="L60" s="27">
        <v>-244.39</v>
      </c>
    </row>
    <row r="61" spans="1:12" x14ac:dyDescent="0.25">
      <c r="A61" s="35"/>
      <c r="B61" s="34" t="s">
        <v>65</v>
      </c>
      <c r="C61" s="26">
        <v>23205.83</v>
      </c>
      <c r="D61" s="38">
        <v>23205.83</v>
      </c>
      <c r="E61" s="9">
        <v>928.23</v>
      </c>
      <c r="F61" s="9">
        <v>0</v>
      </c>
      <c r="G61" s="9">
        <v>0</v>
      </c>
      <c r="H61" s="9">
        <v>0</v>
      </c>
      <c r="I61" s="9">
        <v>23205.83</v>
      </c>
      <c r="J61" s="9">
        <v>0</v>
      </c>
      <c r="K61" s="9">
        <v>367.57</v>
      </c>
      <c r="L61" s="27">
        <v>1693.1</v>
      </c>
    </row>
    <row r="62" spans="1:12" x14ac:dyDescent="0.25">
      <c r="A62" s="35"/>
      <c r="B62" s="34" t="s">
        <v>180</v>
      </c>
      <c r="C62" s="26">
        <v>25243.84</v>
      </c>
      <c r="D62" s="38">
        <v>25200.74</v>
      </c>
      <c r="E62" s="9">
        <v>1114.1199999999999</v>
      </c>
      <c r="F62" s="9">
        <v>0</v>
      </c>
      <c r="G62" s="9">
        <v>0</v>
      </c>
      <c r="H62" s="9">
        <v>43.1</v>
      </c>
      <c r="I62" s="9">
        <v>23874.54</v>
      </c>
      <c r="J62" s="9">
        <v>0</v>
      </c>
      <c r="K62" s="9">
        <v>397.44</v>
      </c>
      <c r="L62" s="27">
        <v>1830.5800000000002</v>
      </c>
    </row>
    <row r="63" spans="1:12" x14ac:dyDescent="0.25">
      <c r="A63" s="15" t="s">
        <v>378</v>
      </c>
      <c r="B63" s="16"/>
      <c r="C63" s="22">
        <v>27960.250000000004</v>
      </c>
      <c r="D63" s="37">
        <v>45056.97</v>
      </c>
      <c r="E63" s="23">
        <v>1908.37</v>
      </c>
      <c r="F63" s="23">
        <v>-8947.89</v>
      </c>
      <c r="G63" s="23">
        <v>0</v>
      </c>
      <c r="H63" s="23">
        <v>43.1</v>
      </c>
      <c r="I63" s="23">
        <v>29940.550000000003</v>
      </c>
      <c r="J63" s="23">
        <v>0</v>
      </c>
      <c r="K63" s="23">
        <v>711.95</v>
      </c>
      <c r="L63" s="24">
        <v>3279.29</v>
      </c>
    </row>
    <row r="64" spans="1:12" x14ac:dyDescent="0.25">
      <c r="A64" s="21">
        <v>45700</v>
      </c>
      <c r="B64" s="15" t="s">
        <v>51</v>
      </c>
      <c r="C64" s="22">
        <v>8430.9</v>
      </c>
      <c r="D64" s="37">
        <v>8386.7000000000007</v>
      </c>
      <c r="E64" s="23">
        <v>335.47</v>
      </c>
      <c r="F64" s="23">
        <v>0</v>
      </c>
      <c r="G64" s="23">
        <v>0</v>
      </c>
      <c r="H64" s="23">
        <v>44.2</v>
      </c>
      <c r="I64" s="23">
        <v>7026.7</v>
      </c>
      <c r="J64" s="23">
        <v>0</v>
      </c>
      <c r="K64" s="23">
        <v>132.86000000000001</v>
      </c>
      <c r="L64" s="24">
        <v>611.89</v>
      </c>
    </row>
    <row r="65" spans="1:12" x14ac:dyDescent="0.25">
      <c r="A65" s="35"/>
      <c r="B65" s="34" t="s">
        <v>52</v>
      </c>
      <c r="C65" s="26">
        <v>8386.7000000000007</v>
      </c>
      <c r="D65" s="38">
        <v>0</v>
      </c>
      <c r="E65" s="9">
        <v>0</v>
      </c>
      <c r="F65" s="9">
        <v>8386.7000000000007</v>
      </c>
      <c r="G65" s="9">
        <v>0</v>
      </c>
      <c r="H65" s="9">
        <v>0</v>
      </c>
      <c r="I65" s="9">
        <v>8386.7000000000007</v>
      </c>
      <c r="J65" s="9">
        <v>0</v>
      </c>
      <c r="K65" s="9">
        <v>0</v>
      </c>
      <c r="L65" s="27">
        <v>0</v>
      </c>
    </row>
    <row r="66" spans="1:12" x14ac:dyDescent="0.25">
      <c r="A66" s="35"/>
      <c r="B66" s="34" t="s">
        <v>65</v>
      </c>
      <c r="C66" s="26">
        <v>96666.170000000013</v>
      </c>
      <c r="D66" s="38">
        <v>96666.170000000013</v>
      </c>
      <c r="E66" s="9">
        <v>3866.67</v>
      </c>
      <c r="F66" s="9">
        <v>0</v>
      </c>
      <c r="G66" s="9">
        <v>0</v>
      </c>
      <c r="H66" s="9">
        <v>0</v>
      </c>
      <c r="I66" s="9">
        <v>96666.170000000013</v>
      </c>
      <c r="J66" s="9">
        <v>0</v>
      </c>
      <c r="K66" s="9">
        <v>1531.2199999999998</v>
      </c>
      <c r="L66" s="27">
        <v>7052.7800000000007</v>
      </c>
    </row>
    <row r="67" spans="1:12" x14ac:dyDescent="0.25">
      <c r="A67" s="35"/>
      <c r="B67" s="34" t="s">
        <v>69</v>
      </c>
      <c r="C67" s="26">
        <v>20</v>
      </c>
      <c r="D67" s="38">
        <v>20</v>
      </c>
      <c r="E67" s="9">
        <v>0.8</v>
      </c>
      <c r="F67" s="9">
        <v>0</v>
      </c>
      <c r="G67" s="9">
        <v>0</v>
      </c>
      <c r="H67" s="9">
        <v>0</v>
      </c>
      <c r="I67" s="9">
        <v>0</v>
      </c>
      <c r="J67" s="9">
        <v>0</v>
      </c>
      <c r="K67" s="9">
        <v>0.32</v>
      </c>
      <c r="L67" s="27">
        <v>1.46</v>
      </c>
    </row>
    <row r="68" spans="1:12" x14ac:dyDescent="0.25">
      <c r="A68" s="35"/>
      <c r="B68" s="34" t="s">
        <v>117</v>
      </c>
      <c r="C68" s="26">
        <v>853.2</v>
      </c>
      <c r="D68" s="38">
        <v>853.2</v>
      </c>
      <c r="E68" s="9">
        <v>34.130000000000003</v>
      </c>
      <c r="F68" s="9">
        <v>0</v>
      </c>
      <c r="G68" s="9">
        <v>0</v>
      </c>
      <c r="H68" s="9">
        <v>0</v>
      </c>
      <c r="I68" s="9">
        <v>853.2</v>
      </c>
      <c r="J68" s="9">
        <v>0</v>
      </c>
      <c r="K68" s="9">
        <v>13.51</v>
      </c>
      <c r="L68" s="27">
        <v>62.25</v>
      </c>
    </row>
    <row r="69" spans="1:12" x14ac:dyDescent="0.25">
      <c r="A69" s="35"/>
      <c r="B69" s="34" t="s">
        <v>180</v>
      </c>
      <c r="C69" s="26">
        <v>17678.260000000002</v>
      </c>
      <c r="D69" s="38">
        <v>17678.260000000002</v>
      </c>
      <c r="E69" s="9">
        <v>845.61</v>
      </c>
      <c r="F69" s="9">
        <v>0</v>
      </c>
      <c r="G69" s="9">
        <v>0</v>
      </c>
      <c r="H69" s="9">
        <v>0</v>
      </c>
      <c r="I69" s="9">
        <v>17678.260000000002</v>
      </c>
      <c r="J69" s="9">
        <v>0</v>
      </c>
      <c r="K69" s="9">
        <v>277.7</v>
      </c>
      <c r="L69" s="27">
        <v>1279.2800000000002</v>
      </c>
    </row>
    <row r="70" spans="1:12" x14ac:dyDescent="0.25">
      <c r="A70" s="35"/>
      <c r="B70" s="34" t="s">
        <v>184</v>
      </c>
      <c r="C70" s="26">
        <v>998.63</v>
      </c>
      <c r="D70" s="38">
        <v>0</v>
      </c>
      <c r="E70" s="9">
        <v>0</v>
      </c>
      <c r="F70" s="9">
        <v>998.63</v>
      </c>
      <c r="G70" s="9">
        <v>0</v>
      </c>
      <c r="H70" s="9">
        <v>0</v>
      </c>
      <c r="I70" s="9">
        <v>998.63</v>
      </c>
      <c r="J70" s="9">
        <v>0</v>
      </c>
      <c r="K70" s="9">
        <v>16.48</v>
      </c>
      <c r="L70" s="27">
        <v>75.900000000000006</v>
      </c>
    </row>
    <row r="71" spans="1:12" x14ac:dyDescent="0.25">
      <c r="A71" s="15" t="s">
        <v>379</v>
      </c>
      <c r="B71" s="16"/>
      <c r="C71" s="22">
        <v>133033.86000000002</v>
      </c>
      <c r="D71" s="37">
        <v>123604.33000000002</v>
      </c>
      <c r="E71" s="23">
        <v>5082.68</v>
      </c>
      <c r="F71" s="23">
        <v>9385.33</v>
      </c>
      <c r="G71" s="23">
        <v>0</v>
      </c>
      <c r="H71" s="23">
        <v>44.2</v>
      </c>
      <c r="I71" s="23">
        <v>131609.66</v>
      </c>
      <c r="J71" s="23">
        <v>0</v>
      </c>
      <c r="K71" s="23">
        <v>1972.09</v>
      </c>
      <c r="L71" s="24">
        <v>9083.5600000000013</v>
      </c>
    </row>
    <row r="72" spans="1:12" x14ac:dyDescent="0.25">
      <c r="A72" s="21">
        <v>45701</v>
      </c>
      <c r="B72" s="15" t="s">
        <v>48</v>
      </c>
      <c r="C72" s="22">
        <v>-1164128.25</v>
      </c>
      <c r="D72" s="37">
        <v>0</v>
      </c>
      <c r="E72" s="23">
        <v>0</v>
      </c>
      <c r="F72" s="23">
        <v>-1164128.25</v>
      </c>
      <c r="G72" s="23">
        <v>0</v>
      </c>
      <c r="H72" s="23">
        <v>0</v>
      </c>
      <c r="I72" s="23">
        <v>-1058680.3400000001</v>
      </c>
      <c r="J72" s="23">
        <v>0</v>
      </c>
      <c r="K72" s="23">
        <v>-17644.669999999998</v>
      </c>
      <c r="L72" s="24">
        <v>-81081.48</v>
      </c>
    </row>
    <row r="73" spans="1:12" x14ac:dyDescent="0.25">
      <c r="A73" s="35"/>
      <c r="B73" s="34" t="s">
        <v>37</v>
      </c>
      <c r="C73" s="26">
        <v>3538.08</v>
      </c>
      <c r="D73" s="38">
        <v>3538.08</v>
      </c>
      <c r="E73" s="9">
        <v>141.52000000000001</v>
      </c>
      <c r="F73" s="9">
        <v>0</v>
      </c>
      <c r="G73" s="9">
        <v>0</v>
      </c>
      <c r="H73" s="9">
        <v>0</v>
      </c>
      <c r="I73" s="9">
        <v>3538.08</v>
      </c>
      <c r="J73" s="9">
        <v>0</v>
      </c>
      <c r="K73" s="9">
        <v>56.04</v>
      </c>
      <c r="L73" s="27">
        <v>258.14</v>
      </c>
    </row>
    <row r="74" spans="1:12" x14ac:dyDescent="0.25">
      <c r="A74" s="35"/>
      <c r="B74" s="34" t="s">
        <v>38</v>
      </c>
      <c r="C74" s="26">
        <v>3538.08</v>
      </c>
      <c r="D74" s="38">
        <v>0</v>
      </c>
      <c r="E74" s="9">
        <v>0</v>
      </c>
      <c r="F74" s="9">
        <v>0</v>
      </c>
      <c r="G74" s="9">
        <v>3538.08</v>
      </c>
      <c r="H74" s="9">
        <v>0</v>
      </c>
      <c r="I74" s="9">
        <v>3538.08</v>
      </c>
      <c r="J74" s="9">
        <v>0</v>
      </c>
      <c r="K74" s="9">
        <v>0</v>
      </c>
      <c r="L74" s="27">
        <v>0</v>
      </c>
    </row>
    <row r="75" spans="1:12" x14ac:dyDescent="0.25">
      <c r="A75" s="35"/>
      <c r="B75" s="34" t="s">
        <v>45</v>
      </c>
      <c r="C75" s="26">
        <v>-7741.51</v>
      </c>
      <c r="D75" s="38">
        <v>-7741.51</v>
      </c>
      <c r="E75" s="9">
        <v>-309.66000000000003</v>
      </c>
      <c r="F75" s="9">
        <v>0</v>
      </c>
      <c r="G75" s="9">
        <v>0</v>
      </c>
      <c r="H75" s="9">
        <v>0</v>
      </c>
      <c r="I75" s="9">
        <v>0</v>
      </c>
      <c r="J75" s="9">
        <v>0</v>
      </c>
      <c r="K75" s="9">
        <v>-122.62</v>
      </c>
      <c r="L75" s="27">
        <v>-564.82000000000005</v>
      </c>
    </row>
    <row r="76" spans="1:12" x14ac:dyDescent="0.25">
      <c r="A76" s="35"/>
      <c r="B76" s="34" t="s">
        <v>65</v>
      </c>
      <c r="C76" s="26">
        <v>50327.219999999994</v>
      </c>
      <c r="D76" s="38">
        <v>50239.249999999993</v>
      </c>
      <c r="E76" s="9">
        <v>2009.56</v>
      </c>
      <c r="F76" s="9">
        <v>0</v>
      </c>
      <c r="G76" s="9">
        <v>0</v>
      </c>
      <c r="H76" s="9">
        <v>87.97</v>
      </c>
      <c r="I76" s="9">
        <v>47407.969999999994</v>
      </c>
      <c r="J76" s="9">
        <v>0</v>
      </c>
      <c r="K76" s="9">
        <v>795.79</v>
      </c>
      <c r="L76" s="27">
        <v>3665.47</v>
      </c>
    </row>
    <row r="77" spans="1:12" x14ac:dyDescent="0.25">
      <c r="A77" s="35"/>
      <c r="B77" s="34" t="s">
        <v>69</v>
      </c>
      <c r="C77" s="26">
        <v>37.5</v>
      </c>
      <c r="D77" s="38">
        <v>37.5</v>
      </c>
      <c r="E77" s="9">
        <v>1.5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0.6</v>
      </c>
      <c r="L77" s="27">
        <v>2.7300000000000004</v>
      </c>
    </row>
    <row r="78" spans="1:12" x14ac:dyDescent="0.25">
      <c r="A78" s="35"/>
      <c r="B78" s="34" t="s">
        <v>180</v>
      </c>
      <c r="C78" s="26">
        <v>49372.850000000006</v>
      </c>
      <c r="D78" s="38">
        <v>49259.920000000006</v>
      </c>
      <c r="E78" s="9">
        <v>2259.1800000000003</v>
      </c>
      <c r="F78" s="9">
        <v>0</v>
      </c>
      <c r="G78" s="9">
        <v>0</v>
      </c>
      <c r="H78" s="9">
        <v>112.93</v>
      </c>
      <c r="I78" s="9">
        <v>45784.920000000006</v>
      </c>
      <c r="J78" s="9">
        <v>0</v>
      </c>
      <c r="K78" s="9">
        <v>775.5100000000001</v>
      </c>
      <c r="L78" s="27">
        <v>3572.06</v>
      </c>
    </row>
    <row r="79" spans="1:12" x14ac:dyDescent="0.25">
      <c r="A79" s="35"/>
      <c r="B79" s="34" t="s">
        <v>184</v>
      </c>
      <c r="C79" s="26">
        <v>814473.42</v>
      </c>
      <c r="D79" s="38">
        <v>0</v>
      </c>
      <c r="E79" s="9">
        <v>0</v>
      </c>
      <c r="F79" s="9">
        <v>814473.42</v>
      </c>
      <c r="G79" s="9">
        <v>0</v>
      </c>
      <c r="H79" s="9">
        <v>0</v>
      </c>
      <c r="I79" s="9">
        <v>814473.42</v>
      </c>
      <c r="J79" s="9">
        <v>0</v>
      </c>
      <c r="K79" s="9">
        <v>13438.810000000001</v>
      </c>
      <c r="L79" s="27">
        <v>61899.97</v>
      </c>
    </row>
    <row r="80" spans="1:12" x14ac:dyDescent="0.25">
      <c r="A80" s="15" t="s">
        <v>380</v>
      </c>
      <c r="B80" s="16"/>
      <c r="C80" s="22">
        <v>-250582.60999999975</v>
      </c>
      <c r="D80" s="37">
        <v>95333.239999999991</v>
      </c>
      <c r="E80" s="23">
        <v>4102.1000000000004</v>
      </c>
      <c r="F80" s="23">
        <v>-349654.82999999996</v>
      </c>
      <c r="G80" s="23">
        <v>3538.08</v>
      </c>
      <c r="H80" s="23">
        <v>200.9</v>
      </c>
      <c r="I80" s="23">
        <v>-143937.86999999988</v>
      </c>
      <c r="J80" s="23">
        <v>0</v>
      </c>
      <c r="K80" s="23">
        <v>-2700.5399999999954</v>
      </c>
      <c r="L80" s="24">
        <v>-12247.930000000008</v>
      </c>
    </row>
    <row r="81" spans="1:12" x14ac:dyDescent="0.25">
      <c r="A81" s="21">
        <v>45702</v>
      </c>
      <c r="B81" s="15" t="s">
        <v>51</v>
      </c>
      <c r="C81" s="22">
        <v>125.71</v>
      </c>
      <c r="D81" s="37">
        <v>125.71</v>
      </c>
      <c r="E81" s="23">
        <v>5.03</v>
      </c>
      <c r="F81" s="23">
        <v>0</v>
      </c>
      <c r="G81" s="23">
        <v>0</v>
      </c>
      <c r="H81" s="23">
        <v>0</v>
      </c>
      <c r="I81" s="23">
        <v>125.71</v>
      </c>
      <c r="J81" s="23">
        <v>0</v>
      </c>
      <c r="K81" s="23">
        <v>1.98</v>
      </c>
      <c r="L81" s="24">
        <v>9.18</v>
      </c>
    </row>
    <row r="82" spans="1:12" x14ac:dyDescent="0.25">
      <c r="A82" s="35"/>
      <c r="B82" s="34" t="s">
        <v>52</v>
      </c>
      <c r="C82" s="26">
        <v>125.71</v>
      </c>
      <c r="D82" s="38">
        <v>0</v>
      </c>
      <c r="E82" s="9">
        <v>0</v>
      </c>
      <c r="F82" s="9">
        <v>125.71</v>
      </c>
      <c r="G82" s="9">
        <v>0</v>
      </c>
      <c r="H82" s="9">
        <v>0</v>
      </c>
      <c r="I82" s="9">
        <v>125.71</v>
      </c>
      <c r="J82" s="9">
        <v>0</v>
      </c>
      <c r="K82" s="9">
        <v>0</v>
      </c>
      <c r="L82" s="27">
        <v>0</v>
      </c>
    </row>
    <row r="83" spans="1:12" x14ac:dyDescent="0.25">
      <c r="A83" s="35"/>
      <c r="B83" s="34" t="s">
        <v>37</v>
      </c>
      <c r="C83" s="26">
        <v>1323</v>
      </c>
      <c r="D83" s="38">
        <v>1323</v>
      </c>
      <c r="E83" s="9">
        <v>52.92</v>
      </c>
      <c r="F83" s="9">
        <v>0</v>
      </c>
      <c r="G83" s="9">
        <v>0</v>
      </c>
      <c r="H83" s="9">
        <v>42.99</v>
      </c>
      <c r="I83" s="9">
        <v>1323</v>
      </c>
      <c r="J83" s="9">
        <v>0</v>
      </c>
      <c r="K83" s="9">
        <v>20.96</v>
      </c>
      <c r="L83" s="27">
        <v>96.53</v>
      </c>
    </row>
    <row r="84" spans="1:12" x14ac:dyDescent="0.25">
      <c r="A84" s="35"/>
      <c r="B84" s="34" t="s">
        <v>38</v>
      </c>
      <c r="C84" s="26">
        <v>1323</v>
      </c>
      <c r="D84" s="38">
        <v>0</v>
      </c>
      <c r="E84" s="9">
        <v>0</v>
      </c>
      <c r="F84" s="9">
        <v>0</v>
      </c>
      <c r="G84" s="9">
        <v>1323</v>
      </c>
      <c r="H84" s="9">
        <v>0</v>
      </c>
      <c r="I84" s="9">
        <v>1323</v>
      </c>
      <c r="J84" s="9">
        <v>0</v>
      </c>
      <c r="K84" s="9">
        <v>0</v>
      </c>
      <c r="L84" s="27">
        <v>0</v>
      </c>
    </row>
    <row r="85" spans="1:12" x14ac:dyDescent="0.25">
      <c r="A85" s="35"/>
      <c r="B85" s="34" t="s">
        <v>54</v>
      </c>
      <c r="C85" s="26">
        <v>3750</v>
      </c>
      <c r="D85" s="38">
        <v>3750</v>
      </c>
      <c r="E85" s="9">
        <v>150</v>
      </c>
      <c r="F85" s="9">
        <v>0</v>
      </c>
      <c r="G85" s="9">
        <v>0</v>
      </c>
      <c r="H85" s="9">
        <v>0</v>
      </c>
      <c r="I85" s="9">
        <v>3750</v>
      </c>
      <c r="J85" s="9">
        <v>0</v>
      </c>
      <c r="K85" s="9">
        <v>59.4</v>
      </c>
      <c r="L85" s="27">
        <v>273.60000000000002</v>
      </c>
    </row>
    <row r="86" spans="1:12" x14ac:dyDescent="0.25">
      <c r="A86" s="35"/>
      <c r="B86" s="34" t="s">
        <v>65</v>
      </c>
      <c r="C86" s="26">
        <v>106133.58999999998</v>
      </c>
      <c r="D86" s="38">
        <v>106133.58999999998</v>
      </c>
      <c r="E86" s="9">
        <v>4245.3600000000006</v>
      </c>
      <c r="F86" s="9">
        <v>0</v>
      </c>
      <c r="G86" s="9">
        <v>0</v>
      </c>
      <c r="H86" s="9">
        <v>0</v>
      </c>
      <c r="I86" s="9">
        <v>106029.68999999999</v>
      </c>
      <c r="J86" s="9">
        <v>0</v>
      </c>
      <c r="K86" s="9">
        <v>1681.19</v>
      </c>
      <c r="L86" s="27">
        <v>7743.5</v>
      </c>
    </row>
    <row r="87" spans="1:12" x14ac:dyDescent="0.25">
      <c r="A87" s="35"/>
      <c r="B87" s="34" t="s">
        <v>69</v>
      </c>
      <c r="C87" s="26">
        <v>82.05</v>
      </c>
      <c r="D87" s="38">
        <v>82.05</v>
      </c>
      <c r="E87" s="9">
        <v>3.2800000000000002</v>
      </c>
      <c r="F87" s="9">
        <v>0</v>
      </c>
      <c r="G87" s="9">
        <v>0</v>
      </c>
      <c r="H87" s="9">
        <v>0</v>
      </c>
      <c r="I87" s="9">
        <v>0</v>
      </c>
      <c r="J87" s="9">
        <v>0</v>
      </c>
      <c r="K87" s="9">
        <v>1.31</v>
      </c>
      <c r="L87" s="27">
        <v>5.9700000000000006</v>
      </c>
    </row>
    <row r="88" spans="1:12" x14ac:dyDescent="0.25">
      <c r="A88" s="35"/>
      <c r="B88" s="34" t="s">
        <v>180</v>
      </c>
      <c r="C88" s="26">
        <v>32072.499999999996</v>
      </c>
      <c r="D88" s="38">
        <v>31753.769999999997</v>
      </c>
      <c r="E88" s="9">
        <v>1822.9800000000002</v>
      </c>
      <c r="F88" s="9">
        <v>0</v>
      </c>
      <c r="G88" s="9">
        <v>0</v>
      </c>
      <c r="H88" s="9">
        <v>318.73</v>
      </c>
      <c r="I88" s="9">
        <v>21946.21</v>
      </c>
      <c r="J88" s="9">
        <v>0</v>
      </c>
      <c r="K88" s="9">
        <v>493.83999999999992</v>
      </c>
      <c r="L88" s="27">
        <v>2274.7200000000003</v>
      </c>
    </row>
    <row r="89" spans="1:12" x14ac:dyDescent="0.25">
      <c r="A89" s="35"/>
      <c r="B89" s="34" t="s">
        <v>239</v>
      </c>
      <c r="C89" s="26">
        <v>3750</v>
      </c>
      <c r="D89" s="38">
        <v>0</v>
      </c>
      <c r="E89" s="9">
        <v>0</v>
      </c>
      <c r="F89" s="9">
        <v>3750</v>
      </c>
      <c r="G89" s="9">
        <v>0</v>
      </c>
      <c r="H89" s="9">
        <v>0</v>
      </c>
      <c r="I89" s="9">
        <v>3750</v>
      </c>
      <c r="J89" s="9">
        <v>0</v>
      </c>
      <c r="K89" s="9">
        <v>0</v>
      </c>
      <c r="L89" s="27">
        <v>0</v>
      </c>
    </row>
    <row r="90" spans="1:12" x14ac:dyDescent="0.25">
      <c r="A90" s="15" t="s">
        <v>381</v>
      </c>
      <c r="B90" s="16"/>
      <c r="C90" s="22">
        <v>148685.55999999997</v>
      </c>
      <c r="D90" s="37">
        <v>143168.12</v>
      </c>
      <c r="E90" s="23">
        <v>6279.5700000000006</v>
      </c>
      <c r="F90" s="23">
        <v>3875.71</v>
      </c>
      <c r="G90" s="23">
        <v>1323</v>
      </c>
      <c r="H90" s="23">
        <v>361.72</v>
      </c>
      <c r="I90" s="23">
        <v>138373.31999999998</v>
      </c>
      <c r="J90" s="23">
        <v>0</v>
      </c>
      <c r="K90" s="23">
        <v>2258.6799999999998</v>
      </c>
      <c r="L90" s="24">
        <v>10403.5</v>
      </c>
    </row>
    <row r="91" spans="1:12" x14ac:dyDescent="0.25">
      <c r="A91" s="21">
        <v>45705</v>
      </c>
      <c r="B91" s="15" t="s">
        <v>48</v>
      </c>
      <c r="C91" s="22">
        <v>-38020.910000000003</v>
      </c>
      <c r="D91" s="37">
        <v>0</v>
      </c>
      <c r="E91" s="23">
        <v>0</v>
      </c>
      <c r="F91" s="23">
        <v>-25699.78</v>
      </c>
      <c r="G91" s="23">
        <v>0</v>
      </c>
      <c r="H91" s="23">
        <v>0</v>
      </c>
      <c r="I91" s="23">
        <v>-38020.910000000003</v>
      </c>
      <c r="J91" s="23">
        <v>0</v>
      </c>
      <c r="K91" s="23">
        <v>0</v>
      </c>
      <c r="L91" s="24">
        <v>0</v>
      </c>
    </row>
    <row r="92" spans="1:12" x14ac:dyDescent="0.25">
      <c r="A92" s="35"/>
      <c r="B92" s="34" t="s">
        <v>67</v>
      </c>
      <c r="C92" s="26">
        <v>479.13</v>
      </c>
      <c r="D92" s="38">
        <v>478.52</v>
      </c>
      <c r="E92" s="9">
        <v>19.14</v>
      </c>
      <c r="F92" s="9">
        <v>0</v>
      </c>
      <c r="G92" s="9">
        <v>0</v>
      </c>
      <c r="H92" s="9">
        <v>0.61</v>
      </c>
      <c r="I92" s="9">
        <v>459.52</v>
      </c>
      <c r="J92" s="9">
        <v>0</v>
      </c>
      <c r="K92" s="9">
        <v>7.56</v>
      </c>
      <c r="L92" s="27">
        <v>34.93</v>
      </c>
    </row>
    <row r="93" spans="1:12" x14ac:dyDescent="0.25">
      <c r="A93" s="35"/>
      <c r="B93" s="34" t="s">
        <v>65</v>
      </c>
      <c r="C93" s="26">
        <v>95903.02</v>
      </c>
      <c r="D93" s="38">
        <v>95903.02</v>
      </c>
      <c r="E93" s="9">
        <v>3836.1100000000006</v>
      </c>
      <c r="F93" s="9">
        <v>0</v>
      </c>
      <c r="G93" s="9">
        <v>0</v>
      </c>
      <c r="H93" s="9">
        <v>0</v>
      </c>
      <c r="I93" s="9">
        <v>95869.23</v>
      </c>
      <c r="J93" s="9">
        <v>0</v>
      </c>
      <c r="K93" s="9">
        <v>1519.09</v>
      </c>
      <c r="L93" s="27">
        <v>6997.1</v>
      </c>
    </row>
    <row r="94" spans="1:12" x14ac:dyDescent="0.25">
      <c r="A94" s="35"/>
      <c r="B94" s="34" t="s">
        <v>180</v>
      </c>
      <c r="C94" s="26">
        <v>36111.32</v>
      </c>
      <c r="D94" s="38">
        <v>36022.519999999997</v>
      </c>
      <c r="E94" s="9">
        <v>1613.02</v>
      </c>
      <c r="F94" s="9">
        <v>0</v>
      </c>
      <c r="G94" s="9">
        <v>0</v>
      </c>
      <c r="H94" s="9">
        <v>88.8</v>
      </c>
      <c r="I94" s="9">
        <v>33289.97</v>
      </c>
      <c r="J94" s="9">
        <v>0</v>
      </c>
      <c r="K94" s="9">
        <v>567.76</v>
      </c>
      <c r="L94" s="27">
        <v>2615.1000000000004</v>
      </c>
    </row>
    <row r="95" spans="1:12" x14ac:dyDescent="0.25">
      <c r="A95" s="35"/>
      <c r="B95" s="34" t="s">
        <v>313</v>
      </c>
      <c r="C95" s="26">
        <v>1526</v>
      </c>
      <c r="D95" s="38">
        <v>1526</v>
      </c>
      <c r="E95" s="9">
        <v>183.12</v>
      </c>
      <c r="F95" s="9">
        <v>0</v>
      </c>
      <c r="G95" s="9">
        <v>0</v>
      </c>
      <c r="H95" s="9">
        <v>0</v>
      </c>
      <c r="I95" s="9">
        <v>1526</v>
      </c>
      <c r="J95" s="9">
        <v>0</v>
      </c>
      <c r="K95" s="9">
        <v>22.16</v>
      </c>
      <c r="L95" s="27">
        <v>102.06</v>
      </c>
    </row>
    <row r="96" spans="1:12" x14ac:dyDescent="0.25">
      <c r="A96" s="35"/>
      <c r="B96" s="34" t="s">
        <v>315</v>
      </c>
      <c r="C96" s="26">
        <v>1526</v>
      </c>
      <c r="D96" s="38">
        <v>0</v>
      </c>
      <c r="E96" s="9">
        <v>0</v>
      </c>
      <c r="F96" s="9">
        <v>1526</v>
      </c>
      <c r="G96" s="9">
        <v>0</v>
      </c>
      <c r="H96" s="9">
        <v>0</v>
      </c>
      <c r="I96" s="9">
        <v>1526</v>
      </c>
      <c r="J96" s="9">
        <v>0</v>
      </c>
      <c r="K96" s="9">
        <v>0</v>
      </c>
      <c r="L96" s="27">
        <v>0</v>
      </c>
    </row>
    <row r="97" spans="1:12" x14ac:dyDescent="0.25">
      <c r="A97" s="15" t="s">
        <v>382</v>
      </c>
      <c r="B97" s="16"/>
      <c r="C97" s="22">
        <v>97524.56</v>
      </c>
      <c r="D97" s="37">
        <v>133930.06</v>
      </c>
      <c r="E97" s="23">
        <v>5651.39</v>
      </c>
      <c r="F97" s="23">
        <v>-24173.78</v>
      </c>
      <c r="G97" s="23">
        <v>0</v>
      </c>
      <c r="H97" s="23">
        <v>89.41</v>
      </c>
      <c r="I97" s="23">
        <v>94649.81</v>
      </c>
      <c r="J97" s="23">
        <v>0</v>
      </c>
      <c r="K97" s="23">
        <v>2116.5699999999997</v>
      </c>
      <c r="L97" s="24">
        <v>9749.19</v>
      </c>
    </row>
    <row r="98" spans="1:12" x14ac:dyDescent="0.25">
      <c r="A98" s="21">
        <v>45706</v>
      </c>
      <c r="B98" s="15" t="s">
        <v>37</v>
      </c>
      <c r="C98" s="22">
        <v>3957.72</v>
      </c>
      <c r="D98" s="37">
        <v>3957.72</v>
      </c>
      <c r="E98" s="23">
        <v>158.31</v>
      </c>
      <c r="F98" s="23">
        <v>0</v>
      </c>
      <c r="G98" s="23">
        <v>0</v>
      </c>
      <c r="H98" s="23">
        <v>0</v>
      </c>
      <c r="I98" s="23">
        <v>3957.72</v>
      </c>
      <c r="J98" s="23">
        <v>0</v>
      </c>
      <c r="K98" s="23">
        <v>62.69</v>
      </c>
      <c r="L98" s="24">
        <v>288.75</v>
      </c>
    </row>
    <row r="99" spans="1:12" x14ac:dyDescent="0.25">
      <c r="A99" s="35"/>
      <c r="B99" s="34" t="s">
        <v>38</v>
      </c>
      <c r="C99" s="26">
        <v>3957.72</v>
      </c>
      <c r="D99" s="38">
        <v>0</v>
      </c>
      <c r="E99" s="9">
        <v>0</v>
      </c>
      <c r="F99" s="9">
        <v>0</v>
      </c>
      <c r="G99" s="9">
        <v>3957.72</v>
      </c>
      <c r="H99" s="9">
        <v>0</v>
      </c>
      <c r="I99" s="9">
        <v>3957.72</v>
      </c>
      <c r="J99" s="9">
        <v>0</v>
      </c>
      <c r="K99" s="9">
        <v>0</v>
      </c>
      <c r="L99" s="27">
        <v>0</v>
      </c>
    </row>
    <row r="100" spans="1:12" x14ac:dyDescent="0.25">
      <c r="A100" s="35"/>
      <c r="B100" s="34" t="s">
        <v>45</v>
      </c>
      <c r="C100" s="26">
        <v>-953.7</v>
      </c>
      <c r="D100" s="38">
        <v>-953.7</v>
      </c>
      <c r="E100" s="9">
        <v>-38.15</v>
      </c>
      <c r="F100" s="9">
        <v>0</v>
      </c>
      <c r="G100" s="9">
        <v>0</v>
      </c>
      <c r="H100" s="9">
        <v>0</v>
      </c>
      <c r="I100" s="9">
        <v>0</v>
      </c>
      <c r="J100" s="9">
        <v>0</v>
      </c>
      <c r="K100" s="9">
        <v>-15.11</v>
      </c>
      <c r="L100" s="27">
        <v>-69.58</v>
      </c>
    </row>
    <row r="101" spans="1:12" x14ac:dyDescent="0.25">
      <c r="A101" s="35"/>
      <c r="B101" s="34" t="s">
        <v>54</v>
      </c>
      <c r="C101" s="26">
        <v>4765.2</v>
      </c>
      <c r="D101" s="38">
        <v>4765.2</v>
      </c>
      <c r="E101" s="9">
        <v>190.61</v>
      </c>
      <c r="F101" s="9">
        <v>0</v>
      </c>
      <c r="G101" s="9">
        <v>0</v>
      </c>
      <c r="H101" s="9">
        <v>0</v>
      </c>
      <c r="I101" s="9">
        <v>4765.2</v>
      </c>
      <c r="J101" s="9">
        <v>0</v>
      </c>
      <c r="K101" s="9">
        <v>75.489999999999995</v>
      </c>
      <c r="L101" s="27">
        <v>347.67</v>
      </c>
    </row>
    <row r="102" spans="1:12" x14ac:dyDescent="0.25">
      <c r="A102" s="35"/>
      <c r="B102" s="34" t="s">
        <v>65</v>
      </c>
      <c r="C102" s="26">
        <v>74927.699999999983</v>
      </c>
      <c r="D102" s="38">
        <v>74917.739999999991</v>
      </c>
      <c r="E102" s="9">
        <v>2996.69</v>
      </c>
      <c r="F102" s="9">
        <v>0</v>
      </c>
      <c r="G102" s="9">
        <v>0</v>
      </c>
      <c r="H102" s="9">
        <v>9.9600000000000009</v>
      </c>
      <c r="I102" s="9">
        <v>74489.409999999989</v>
      </c>
      <c r="J102" s="9">
        <v>0</v>
      </c>
      <c r="K102" s="9">
        <v>1186.6899999999998</v>
      </c>
      <c r="L102" s="27">
        <v>5466.04</v>
      </c>
    </row>
    <row r="103" spans="1:12" x14ac:dyDescent="0.25">
      <c r="A103" s="35"/>
      <c r="B103" s="34" t="s">
        <v>69</v>
      </c>
      <c r="C103" s="26">
        <v>42.5</v>
      </c>
      <c r="D103" s="38">
        <v>42.5</v>
      </c>
      <c r="E103" s="9">
        <v>1.7</v>
      </c>
      <c r="F103" s="9">
        <v>0</v>
      </c>
      <c r="G103" s="9">
        <v>0</v>
      </c>
      <c r="H103" s="9">
        <v>0</v>
      </c>
      <c r="I103" s="9">
        <v>0</v>
      </c>
      <c r="J103" s="9">
        <v>0</v>
      </c>
      <c r="K103" s="9">
        <v>0.67999999999999994</v>
      </c>
      <c r="L103" s="27">
        <v>3.1</v>
      </c>
    </row>
    <row r="104" spans="1:12" x14ac:dyDescent="0.25">
      <c r="A104" s="35"/>
      <c r="B104" s="34" t="s">
        <v>180</v>
      </c>
      <c r="C104" s="26">
        <v>7487.51</v>
      </c>
      <c r="D104" s="38">
        <v>7487.51</v>
      </c>
      <c r="E104" s="9">
        <v>299.5</v>
      </c>
      <c r="F104" s="9">
        <v>0</v>
      </c>
      <c r="G104" s="9">
        <v>0</v>
      </c>
      <c r="H104" s="9">
        <v>0</v>
      </c>
      <c r="I104" s="9">
        <v>7487.51</v>
      </c>
      <c r="J104" s="9">
        <v>0</v>
      </c>
      <c r="K104" s="9">
        <v>118.6</v>
      </c>
      <c r="L104" s="27">
        <v>546.29999999999995</v>
      </c>
    </row>
    <row r="105" spans="1:12" x14ac:dyDescent="0.25">
      <c r="A105" s="35"/>
      <c r="B105" s="34" t="s">
        <v>184</v>
      </c>
      <c r="C105" s="26">
        <v>363.21</v>
      </c>
      <c r="D105" s="38">
        <v>0</v>
      </c>
      <c r="E105" s="9">
        <v>0</v>
      </c>
      <c r="F105" s="9">
        <v>363.21</v>
      </c>
      <c r="G105" s="9">
        <v>0</v>
      </c>
      <c r="H105" s="9">
        <v>0</v>
      </c>
      <c r="I105" s="9">
        <v>363.21</v>
      </c>
      <c r="J105" s="9">
        <v>0</v>
      </c>
      <c r="K105" s="9">
        <v>5.99</v>
      </c>
      <c r="L105" s="27">
        <v>27.6</v>
      </c>
    </row>
    <row r="106" spans="1:12" x14ac:dyDescent="0.25">
      <c r="A106" s="35"/>
      <c r="B106" s="34" t="s">
        <v>239</v>
      </c>
      <c r="C106" s="26">
        <v>4765.2</v>
      </c>
      <c r="D106" s="38">
        <v>0</v>
      </c>
      <c r="E106" s="9">
        <v>0</v>
      </c>
      <c r="F106" s="9">
        <v>4765.2</v>
      </c>
      <c r="G106" s="9">
        <v>0</v>
      </c>
      <c r="H106" s="9">
        <v>0</v>
      </c>
      <c r="I106" s="9">
        <v>4765.2</v>
      </c>
      <c r="J106" s="9">
        <v>0</v>
      </c>
      <c r="K106" s="9">
        <v>0</v>
      </c>
      <c r="L106" s="27">
        <v>0</v>
      </c>
    </row>
    <row r="107" spans="1:12" x14ac:dyDescent="0.25">
      <c r="A107" s="15" t="s">
        <v>383</v>
      </c>
      <c r="B107" s="16"/>
      <c r="C107" s="22">
        <v>99313.059999999983</v>
      </c>
      <c r="D107" s="37">
        <v>90216.969999999987</v>
      </c>
      <c r="E107" s="23">
        <v>3608.66</v>
      </c>
      <c r="F107" s="23">
        <v>5128.41</v>
      </c>
      <c r="G107" s="23">
        <v>3957.72</v>
      </c>
      <c r="H107" s="23">
        <v>9.9600000000000009</v>
      </c>
      <c r="I107" s="23">
        <v>99785.969999999987</v>
      </c>
      <c r="J107" s="23">
        <v>0</v>
      </c>
      <c r="K107" s="23">
        <v>1435.0299999999997</v>
      </c>
      <c r="L107" s="24">
        <v>6609.880000000001</v>
      </c>
    </row>
    <row r="108" spans="1:12" x14ac:dyDescent="0.25">
      <c r="A108" s="21">
        <v>45707</v>
      </c>
      <c r="B108" s="15" t="s">
        <v>51</v>
      </c>
      <c r="C108" s="22">
        <v>27364.82</v>
      </c>
      <c r="D108" s="37">
        <v>27364.82</v>
      </c>
      <c r="E108" s="23">
        <v>1094.5899999999999</v>
      </c>
      <c r="F108" s="23">
        <v>0</v>
      </c>
      <c r="G108" s="23">
        <v>0</v>
      </c>
      <c r="H108" s="23">
        <v>0</v>
      </c>
      <c r="I108" s="23">
        <v>27364.82</v>
      </c>
      <c r="J108" s="23">
        <v>0</v>
      </c>
      <c r="K108" s="23">
        <v>433.46</v>
      </c>
      <c r="L108" s="24">
        <v>1996.54</v>
      </c>
    </row>
    <row r="109" spans="1:12" x14ac:dyDescent="0.25">
      <c r="A109" s="35"/>
      <c r="B109" s="34" t="s">
        <v>52</v>
      </c>
      <c r="C109" s="26">
        <v>27364.82</v>
      </c>
      <c r="D109" s="38">
        <v>0</v>
      </c>
      <c r="E109" s="9">
        <v>0</v>
      </c>
      <c r="F109" s="9">
        <v>27364.82</v>
      </c>
      <c r="G109" s="9">
        <v>0</v>
      </c>
      <c r="H109" s="9">
        <v>0</v>
      </c>
      <c r="I109" s="9">
        <v>27364.82</v>
      </c>
      <c r="J109" s="9">
        <v>0</v>
      </c>
      <c r="K109" s="9">
        <v>0</v>
      </c>
      <c r="L109" s="27">
        <v>0</v>
      </c>
    </row>
    <row r="110" spans="1:12" x14ac:dyDescent="0.25">
      <c r="A110" s="35"/>
      <c r="B110" s="34" t="s">
        <v>48</v>
      </c>
      <c r="C110" s="26">
        <v>-948409.49</v>
      </c>
      <c r="D110" s="38">
        <v>0</v>
      </c>
      <c r="E110" s="9">
        <v>0</v>
      </c>
      <c r="F110" s="9">
        <v>-948409.49</v>
      </c>
      <c r="G110" s="9">
        <v>0</v>
      </c>
      <c r="H110" s="9">
        <v>0</v>
      </c>
      <c r="I110" s="9">
        <v>-862501.61</v>
      </c>
      <c r="J110" s="9">
        <v>0</v>
      </c>
      <c r="K110" s="9">
        <v>-14375</v>
      </c>
      <c r="L110" s="27">
        <v>-66056.67</v>
      </c>
    </row>
    <row r="111" spans="1:12" x14ac:dyDescent="0.25">
      <c r="A111" s="35"/>
      <c r="B111" s="34" t="s">
        <v>65</v>
      </c>
      <c r="C111" s="26">
        <v>163008.87</v>
      </c>
      <c r="D111" s="38">
        <v>163008.87</v>
      </c>
      <c r="E111" s="9">
        <v>6520.35</v>
      </c>
      <c r="F111" s="9">
        <v>0</v>
      </c>
      <c r="G111" s="9">
        <v>0</v>
      </c>
      <c r="H111" s="9">
        <v>0</v>
      </c>
      <c r="I111" s="9">
        <v>163008.87</v>
      </c>
      <c r="J111" s="9">
        <v>0</v>
      </c>
      <c r="K111" s="9">
        <v>2582.0500000000002</v>
      </c>
      <c r="L111" s="27">
        <v>11893.1</v>
      </c>
    </row>
    <row r="112" spans="1:12" x14ac:dyDescent="0.25">
      <c r="A112" s="35"/>
      <c r="B112" s="34" t="s">
        <v>180</v>
      </c>
      <c r="C112" s="26">
        <v>11026.1</v>
      </c>
      <c r="D112" s="38">
        <v>11026.1</v>
      </c>
      <c r="E112" s="9">
        <v>441.03999999999996</v>
      </c>
      <c r="F112" s="9">
        <v>0</v>
      </c>
      <c r="G112" s="9">
        <v>0</v>
      </c>
      <c r="H112" s="9">
        <v>0</v>
      </c>
      <c r="I112" s="9">
        <v>11026.1</v>
      </c>
      <c r="J112" s="9">
        <v>0</v>
      </c>
      <c r="K112" s="9">
        <v>174.64999999999998</v>
      </c>
      <c r="L112" s="27">
        <v>804.46</v>
      </c>
    </row>
    <row r="113" spans="1:12" x14ac:dyDescent="0.25">
      <c r="A113" s="35"/>
      <c r="B113" s="34" t="s">
        <v>184</v>
      </c>
      <c r="C113" s="26">
        <v>652959.32999999996</v>
      </c>
      <c r="D113" s="38">
        <v>0</v>
      </c>
      <c r="E113" s="9">
        <v>0</v>
      </c>
      <c r="F113" s="9">
        <v>652959.32999999996</v>
      </c>
      <c r="G113" s="9">
        <v>0</v>
      </c>
      <c r="H113" s="9">
        <v>0</v>
      </c>
      <c r="I113" s="9">
        <v>652959.32999999996</v>
      </c>
      <c r="J113" s="9">
        <v>0</v>
      </c>
      <c r="K113" s="9">
        <v>10773.84</v>
      </c>
      <c r="L113" s="27">
        <v>49624.92</v>
      </c>
    </row>
    <row r="114" spans="1:12" x14ac:dyDescent="0.25">
      <c r="A114" s="15" t="s">
        <v>384</v>
      </c>
      <c r="B114" s="16"/>
      <c r="C114" s="22">
        <v>-66685.550000000047</v>
      </c>
      <c r="D114" s="37">
        <v>201399.79</v>
      </c>
      <c r="E114" s="23">
        <v>8055.9800000000005</v>
      </c>
      <c r="F114" s="23">
        <v>-268085.34000000008</v>
      </c>
      <c r="G114" s="23">
        <v>0</v>
      </c>
      <c r="H114" s="23">
        <v>0</v>
      </c>
      <c r="I114" s="23">
        <v>19222.329999999958</v>
      </c>
      <c r="J114" s="23">
        <v>0</v>
      </c>
      <c r="K114" s="23">
        <v>-411.00000000000182</v>
      </c>
      <c r="L114" s="24">
        <v>-1737.6500000000015</v>
      </c>
    </row>
    <row r="115" spans="1:12" x14ac:dyDescent="0.25">
      <c r="A115" s="21">
        <v>45708</v>
      </c>
      <c r="B115" s="15" t="s">
        <v>51</v>
      </c>
      <c r="C115" s="22">
        <v>68.95</v>
      </c>
      <c r="D115" s="37">
        <v>68.95</v>
      </c>
      <c r="E115" s="23">
        <v>2.76</v>
      </c>
      <c r="F115" s="23">
        <v>0</v>
      </c>
      <c r="G115" s="23">
        <v>0</v>
      </c>
      <c r="H115" s="23">
        <v>0</v>
      </c>
      <c r="I115" s="23">
        <v>68.95</v>
      </c>
      <c r="J115" s="23">
        <v>0</v>
      </c>
      <c r="K115" s="23">
        <v>1.0900000000000001</v>
      </c>
      <c r="L115" s="24">
        <v>5.03</v>
      </c>
    </row>
    <row r="116" spans="1:12" x14ac:dyDescent="0.25">
      <c r="A116" s="35"/>
      <c r="B116" s="34" t="s">
        <v>52</v>
      </c>
      <c r="C116" s="26">
        <v>68.95</v>
      </c>
      <c r="D116" s="38">
        <v>0</v>
      </c>
      <c r="E116" s="9">
        <v>0</v>
      </c>
      <c r="F116" s="9">
        <v>68.95</v>
      </c>
      <c r="G116" s="9">
        <v>0</v>
      </c>
      <c r="H116" s="9">
        <v>0</v>
      </c>
      <c r="I116" s="9">
        <v>68.95</v>
      </c>
      <c r="J116" s="9">
        <v>0</v>
      </c>
      <c r="K116" s="9">
        <v>0</v>
      </c>
      <c r="L116" s="27">
        <v>0</v>
      </c>
    </row>
    <row r="117" spans="1:12" x14ac:dyDescent="0.25">
      <c r="A117" s="35"/>
      <c r="B117" s="34" t="s">
        <v>48</v>
      </c>
      <c r="C117" s="26">
        <v>-389135.51</v>
      </c>
      <c r="D117" s="38">
        <v>0</v>
      </c>
      <c r="E117" s="9">
        <v>0</v>
      </c>
      <c r="F117" s="9">
        <v>-389135.51</v>
      </c>
      <c r="G117" s="9">
        <v>0</v>
      </c>
      <c r="H117" s="9">
        <v>0</v>
      </c>
      <c r="I117" s="9">
        <v>-353887.24</v>
      </c>
      <c r="J117" s="9">
        <v>0</v>
      </c>
      <c r="K117" s="9">
        <v>-5898.11</v>
      </c>
      <c r="L117" s="27">
        <v>-27103.279999999999</v>
      </c>
    </row>
    <row r="118" spans="1:12" x14ac:dyDescent="0.25">
      <c r="A118" s="35"/>
      <c r="B118" s="34" t="s">
        <v>45</v>
      </c>
      <c r="C118" s="26">
        <v>-482.79</v>
      </c>
      <c r="D118" s="38">
        <v>-482.79</v>
      </c>
      <c r="E118" s="9">
        <v>-19.309999999999999</v>
      </c>
      <c r="F118" s="9">
        <v>0</v>
      </c>
      <c r="G118" s="9">
        <v>0</v>
      </c>
      <c r="H118" s="9">
        <v>0</v>
      </c>
      <c r="I118" s="9">
        <v>0</v>
      </c>
      <c r="J118" s="9">
        <v>0</v>
      </c>
      <c r="K118" s="9">
        <v>-7.65</v>
      </c>
      <c r="L118" s="27">
        <v>-35.22</v>
      </c>
    </row>
    <row r="119" spans="1:12" x14ac:dyDescent="0.25">
      <c r="A119" s="35"/>
      <c r="B119" s="34" t="s">
        <v>65</v>
      </c>
      <c r="C119" s="26">
        <v>42402.789999999994</v>
      </c>
      <c r="D119" s="38">
        <v>42402.789999999994</v>
      </c>
      <c r="E119" s="9">
        <v>1696.1</v>
      </c>
      <c r="F119" s="9">
        <v>0</v>
      </c>
      <c r="G119" s="9">
        <v>0</v>
      </c>
      <c r="H119" s="9">
        <v>0</v>
      </c>
      <c r="I119" s="9">
        <v>42307.28</v>
      </c>
      <c r="J119" s="9">
        <v>0</v>
      </c>
      <c r="K119" s="9">
        <v>671.66</v>
      </c>
      <c r="L119" s="27">
        <v>3093.6900000000005</v>
      </c>
    </row>
    <row r="120" spans="1:12" x14ac:dyDescent="0.25">
      <c r="A120" s="35"/>
      <c r="B120" s="34" t="s">
        <v>180</v>
      </c>
      <c r="C120" s="26">
        <v>118858.12999999999</v>
      </c>
      <c r="D120" s="38">
        <v>57590.12</v>
      </c>
      <c r="E120" s="9">
        <v>2405.91</v>
      </c>
      <c r="F120" s="9">
        <v>60523.199999999997</v>
      </c>
      <c r="G120" s="9">
        <v>0</v>
      </c>
      <c r="H120" s="9">
        <v>744.81</v>
      </c>
      <c r="I120" s="9">
        <v>95195.819999999992</v>
      </c>
      <c r="J120" s="9">
        <v>0</v>
      </c>
      <c r="K120" s="9">
        <v>1909.1699999999998</v>
      </c>
      <c r="L120" s="27">
        <v>8793.76</v>
      </c>
    </row>
    <row r="121" spans="1:12" x14ac:dyDescent="0.25">
      <c r="A121" s="35"/>
      <c r="B121" s="34" t="s">
        <v>184</v>
      </c>
      <c r="C121" s="26">
        <v>240.56</v>
      </c>
      <c r="D121" s="38">
        <v>0</v>
      </c>
      <c r="E121" s="9">
        <v>0</v>
      </c>
      <c r="F121" s="9">
        <v>240.56</v>
      </c>
      <c r="G121" s="9">
        <v>0</v>
      </c>
      <c r="H121" s="9">
        <v>0</v>
      </c>
      <c r="I121" s="9">
        <v>240.56</v>
      </c>
      <c r="J121" s="9">
        <v>0</v>
      </c>
      <c r="K121" s="9">
        <v>3.97</v>
      </c>
      <c r="L121" s="27">
        <v>18.28</v>
      </c>
    </row>
    <row r="122" spans="1:12" x14ac:dyDescent="0.25">
      <c r="A122" s="15" t="s">
        <v>385</v>
      </c>
      <c r="B122" s="16"/>
      <c r="C122" s="22">
        <v>-227978.91999999998</v>
      </c>
      <c r="D122" s="37">
        <v>99579.07</v>
      </c>
      <c r="E122" s="23">
        <v>4085.46</v>
      </c>
      <c r="F122" s="23">
        <v>-328302.8</v>
      </c>
      <c r="G122" s="23">
        <v>0</v>
      </c>
      <c r="H122" s="23">
        <v>744.81</v>
      </c>
      <c r="I122" s="23">
        <v>-216005.67999999993</v>
      </c>
      <c r="J122" s="23">
        <v>0</v>
      </c>
      <c r="K122" s="23">
        <v>-3319.8699999999994</v>
      </c>
      <c r="L122" s="24">
        <v>-15227.739999999998</v>
      </c>
    </row>
    <row r="123" spans="1:12" x14ac:dyDescent="0.25">
      <c r="A123" s="21">
        <v>45709</v>
      </c>
      <c r="B123" s="15" t="s">
        <v>48</v>
      </c>
      <c r="C123" s="22">
        <v>-1036140.53</v>
      </c>
      <c r="D123" s="37">
        <v>0</v>
      </c>
      <c r="E123" s="23">
        <v>0</v>
      </c>
      <c r="F123" s="23">
        <v>-1036140.53</v>
      </c>
      <c r="G123" s="23">
        <v>0</v>
      </c>
      <c r="H123" s="23">
        <v>0</v>
      </c>
      <c r="I123" s="23">
        <v>-942285.87</v>
      </c>
      <c r="J123" s="23">
        <v>0</v>
      </c>
      <c r="K123" s="23">
        <v>-15704.74</v>
      </c>
      <c r="L123" s="24">
        <v>-72167.12</v>
      </c>
    </row>
    <row r="124" spans="1:12" x14ac:dyDescent="0.25">
      <c r="A124" s="35"/>
      <c r="B124" s="34" t="s">
        <v>37</v>
      </c>
      <c r="C124" s="26">
        <v>10078.74</v>
      </c>
      <c r="D124" s="38">
        <v>10078.74</v>
      </c>
      <c r="E124" s="9">
        <v>403.15</v>
      </c>
      <c r="F124" s="9">
        <v>0</v>
      </c>
      <c r="G124" s="9">
        <v>0</v>
      </c>
      <c r="H124" s="9">
        <v>0</v>
      </c>
      <c r="I124" s="9">
        <v>10078.74</v>
      </c>
      <c r="J124" s="9">
        <v>0</v>
      </c>
      <c r="K124" s="9">
        <v>159.65</v>
      </c>
      <c r="L124" s="27">
        <v>735.32999999999993</v>
      </c>
    </row>
    <row r="125" spans="1:12" x14ac:dyDescent="0.25">
      <c r="A125" s="35"/>
      <c r="B125" s="34" t="s">
        <v>38</v>
      </c>
      <c r="C125" s="26">
        <v>6709.5</v>
      </c>
      <c r="D125" s="38">
        <v>0</v>
      </c>
      <c r="E125" s="9">
        <v>0</v>
      </c>
      <c r="F125" s="9">
        <v>0</v>
      </c>
      <c r="G125" s="9">
        <v>6709.5</v>
      </c>
      <c r="H125" s="9">
        <v>0</v>
      </c>
      <c r="I125" s="9">
        <v>6709.5</v>
      </c>
      <c r="J125" s="9">
        <v>0</v>
      </c>
      <c r="K125" s="9">
        <v>0</v>
      </c>
      <c r="L125" s="27">
        <v>0</v>
      </c>
    </row>
    <row r="126" spans="1:12" x14ac:dyDescent="0.25">
      <c r="A126" s="35"/>
      <c r="B126" s="34" t="s">
        <v>67</v>
      </c>
      <c r="C126" s="26">
        <v>60.22</v>
      </c>
      <c r="D126" s="38">
        <v>60.22</v>
      </c>
      <c r="E126" s="9">
        <v>2.41</v>
      </c>
      <c r="F126" s="9">
        <v>0</v>
      </c>
      <c r="G126" s="9">
        <v>0</v>
      </c>
      <c r="H126" s="9">
        <v>0</v>
      </c>
      <c r="I126" s="9">
        <v>60.22</v>
      </c>
      <c r="J126" s="9">
        <v>0</v>
      </c>
      <c r="K126" s="9">
        <v>0.95</v>
      </c>
      <c r="L126" s="27">
        <v>4.3899999999999997</v>
      </c>
    </row>
    <row r="127" spans="1:12" x14ac:dyDescent="0.25">
      <c r="A127" s="35"/>
      <c r="B127" s="34" t="s">
        <v>45</v>
      </c>
      <c r="C127" s="26">
        <v>-468</v>
      </c>
      <c r="D127" s="38">
        <v>-468</v>
      </c>
      <c r="E127" s="9">
        <v>-18.72</v>
      </c>
      <c r="F127" s="9">
        <v>0</v>
      </c>
      <c r="G127" s="9">
        <v>0</v>
      </c>
      <c r="H127" s="9">
        <v>0</v>
      </c>
      <c r="I127" s="9">
        <v>0</v>
      </c>
      <c r="J127" s="9">
        <v>0</v>
      </c>
      <c r="K127" s="9">
        <v>-7.41</v>
      </c>
      <c r="L127" s="27">
        <v>-34.15</v>
      </c>
    </row>
    <row r="128" spans="1:12" x14ac:dyDescent="0.25">
      <c r="A128" s="35"/>
      <c r="B128" s="34" t="s">
        <v>65</v>
      </c>
      <c r="C128" s="26">
        <v>36079.770000000004</v>
      </c>
      <c r="D128" s="38">
        <v>35883.240000000005</v>
      </c>
      <c r="E128" s="9">
        <v>1435.3400000000001</v>
      </c>
      <c r="F128" s="9">
        <v>0</v>
      </c>
      <c r="G128" s="9">
        <v>0</v>
      </c>
      <c r="H128" s="9">
        <v>196.53</v>
      </c>
      <c r="I128" s="9">
        <v>29781.77</v>
      </c>
      <c r="J128" s="9">
        <v>0</v>
      </c>
      <c r="K128" s="9">
        <v>568.38</v>
      </c>
      <c r="L128" s="27">
        <v>2618.0500000000002</v>
      </c>
    </row>
    <row r="129" spans="1:12" x14ac:dyDescent="0.25">
      <c r="A129" s="35"/>
      <c r="B129" s="34" t="s">
        <v>180</v>
      </c>
      <c r="C129" s="26">
        <v>19290.739999999998</v>
      </c>
      <c r="D129" s="38">
        <v>19169.36</v>
      </c>
      <c r="E129" s="9">
        <v>1065.57</v>
      </c>
      <c r="F129" s="9">
        <v>0</v>
      </c>
      <c r="G129" s="9">
        <v>0</v>
      </c>
      <c r="H129" s="9">
        <v>121.38</v>
      </c>
      <c r="I129" s="9">
        <v>15434.36</v>
      </c>
      <c r="J129" s="9">
        <v>0</v>
      </c>
      <c r="K129" s="9">
        <v>298.72000000000003</v>
      </c>
      <c r="L129" s="27">
        <v>1375.89</v>
      </c>
    </row>
    <row r="130" spans="1:12" x14ac:dyDescent="0.25">
      <c r="A130" s="35"/>
      <c r="B130" s="34" t="s">
        <v>184</v>
      </c>
      <c r="C130" s="26">
        <v>974701.9</v>
      </c>
      <c r="D130" s="38">
        <v>0</v>
      </c>
      <c r="E130" s="9">
        <v>0</v>
      </c>
      <c r="F130" s="9">
        <v>974701.9</v>
      </c>
      <c r="G130" s="9">
        <v>0</v>
      </c>
      <c r="H130" s="9">
        <v>0</v>
      </c>
      <c r="I130" s="9">
        <v>974701.9</v>
      </c>
      <c r="J130" s="9">
        <v>0</v>
      </c>
      <c r="K130" s="9">
        <v>16082.6</v>
      </c>
      <c r="L130" s="27">
        <v>74077.38</v>
      </c>
    </row>
    <row r="131" spans="1:12" x14ac:dyDescent="0.25">
      <c r="A131" s="35"/>
      <c r="B131" s="34" t="s">
        <v>239</v>
      </c>
      <c r="C131" s="26">
        <v>3369.24</v>
      </c>
      <c r="D131" s="38">
        <v>0</v>
      </c>
      <c r="E131" s="9">
        <v>0</v>
      </c>
      <c r="F131" s="9">
        <v>3369.24</v>
      </c>
      <c r="G131" s="9">
        <v>0</v>
      </c>
      <c r="H131" s="9">
        <v>0</v>
      </c>
      <c r="I131" s="9">
        <v>3369.24</v>
      </c>
      <c r="J131" s="9">
        <v>0</v>
      </c>
      <c r="K131" s="9">
        <v>0</v>
      </c>
      <c r="L131" s="27">
        <v>0</v>
      </c>
    </row>
    <row r="132" spans="1:12" x14ac:dyDescent="0.25">
      <c r="A132" s="15" t="s">
        <v>386</v>
      </c>
      <c r="B132" s="16"/>
      <c r="C132" s="22">
        <v>13681.579999999967</v>
      </c>
      <c r="D132" s="37">
        <v>64723.560000000005</v>
      </c>
      <c r="E132" s="23">
        <v>2887.75</v>
      </c>
      <c r="F132" s="23">
        <v>-58069.390000000007</v>
      </c>
      <c r="G132" s="23">
        <v>6709.5</v>
      </c>
      <c r="H132" s="23">
        <v>317.90999999999997</v>
      </c>
      <c r="I132" s="23">
        <v>97849.86</v>
      </c>
      <c r="J132" s="23">
        <v>0</v>
      </c>
      <c r="K132" s="23">
        <v>1398.1499999999996</v>
      </c>
      <c r="L132" s="24">
        <v>6609.7700000000186</v>
      </c>
    </row>
    <row r="133" spans="1:12" x14ac:dyDescent="0.25">
      <c r="A133" s="21">
        <v>45712</v>
      </c>
      <c r="B133" s="15" t="s">
        <v>48</v>
      </c>
      <c r="C133" s="22">
        <v>-78560.27</v>
      </c>
      <c r="D133" s="37">
        <v>0</v>
      </c>
      <c r="E133" s="23">
        <v>0</v>
      </c>
      <c r="F133" s="23">
        <v>-53195.430000000008</v>
      </c>
      <c r="G133" s="23">
        <v>0</v>
      </c>
      <c r="H133" s="23">
        <v>0</v>
      </c>
      <c r="I133" s="23">
        <v>-78560.27</v>
      </c>
      <c r="J133" s="23">
        <v>0</v>
      </c>
      <c r="K133" s="23">
        <v>0</v>
      </c>
      <c r="L133" s="24">
        <v>0</v>
      </c>
    </row>
    <row r="134" spans="1:12" x14ac:dyDescent="0.25">
      <c r="A134" s="35"/>
      <c r="B134" s="34" t="s">
        <v>65</v>
      </c>
      <c r="C134" s="26">
        <v>72711.86</v>
      </c>
      <c r="D134" s="38">
        <v>72711.86</v>
      </c>
      <c r="E134" s="9">
        <v>2908.49</v>
      </c>
      <c r="F134" s="9">
        <v>0</v>
      </c>
      <c r="G134" s="9">
        <v>0</v>
      </c>
      <c r="H134" s="9">
        <v>0</v>
      </c>
      <c r="I134" s="9">
        <v>72601.86</v>
      </c>
      <c r="J134" s="9">
        <v>0</v>
      </c>
      <c r="K134" s="9">
        <v>1151.76</v>
      </c>
      <c r="L134" s="27">
        <v>5305.08</v>
      </c>
    </row>
    <row r="135" spans="1:12" x14ac:dyDescent="0.25">
      <c r="A135" s="15" t="s">
        <v>387</v>
      </c>
      <c r="B135" s="16"/>
      <c r="C135" s="22">
        <v>-5848.4100000000035</v>
      </c>
      <c r="D135" s="37">
        <v>72711.86</v>
      </c>
      <c r="E135" s="23">
        <v>2908.49</v>
      </c>
      <c r="F135" s="23">
        <v>-53195.430000000008</v>
      </c>
      <c r="G135" s="23">
        <v>0</v>
      </c>
      <c r="H135" s="23">
        <v>0</v>
      </c>
      <c r="I135" s="23">
        <v>-5958.4100000000035</v>
      </c>
      <c r="J135" s="23">
        <v>0</v>
      </c>
      <c r="K135" s="23">
        <v>1151.76</v>
      </c>
      <c r="L135" s="24">
        <v>5305.08</v>
      </c>
    </row>
    <row r="136" spans="1:12" x14ac:dyDescent="0.25">
      <c r="A136" s="28" t="s">
        <v>7</v>
      </c>
      <c r="B136" s="36"/>
      <c r="C136" s="29">
        <v>911460.74999999942</v>
      </c>
      <c r="D136" s="39">
        <v>2239345.9500000002</v>
      </c>
      <c r="E136" s="30">
        <v>92601.03</v>
      </c>
      <c r="F136" s="30">
        <v>-1315169.1500000004</v>
      </c>
      <c r="G136" s="30">
        <v>28885.15</v>
      </c>
      <c r="H136" s="30">
        <v>4319.6899999999996</v>
      </c>
      <c r="I136" s="30">
        <v>1181321.9699999997</v>
      </c>
      <c r="J136" s="30">
        <v>0</v>
      </c>
      <c r="K136" s="30">
        <v>20173.660000000003</v>
      </c>
      <c r="L136" s="31">
        <v>93626.60000000002</v>
      </c>
    </row>
  </sheetData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6455D-4029-4A11-A219-F90CDEFBDEAF}">
  <dimension ref="A1:L135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D22" sqref="D22"/>
    </sheetView>
  </sheetViews>
  <sheetFormatPr defaultRowHeight="15" x14ac:dyDescent="0.25"/>
  <cols>
    <col min="1" max="1" width="17.28515625" bestFit="1" customWidth="1"/>
    <col min="2" max="2" width="13" bestFit="1" customWidth="1"/>
    <col min="3" max="3" width="12.42578125" bestFit="1" customWidth="1"/>
    <col min="4" max="4" width="19.28515625" bestFit="1" customWidth="1"/>
    <col min="5" max="5" width="9.140625" bestFit="1" customWidth="1"/>
    <col min="6" max="6" width="13.140625" bestFit="1" customWidth="1"/>
    <col min="7" max="7" width="9.140625" bestFit="1" customWidth="1"/>
    <col min="8" max="8" width="8.140625" bestFit="1" customWidth="1"/>
    <col min="9" max="9" width="12.42578125" bestFit="1" customWidth="1"/>
    <col min="10" max="10" width="9" bestFit="1" customWidth="1"/>
    <col min="11" max="11" width="9.85546875" bestFit="1" customWidth="1"/>
    <col min="12" max="12" width="10.85546875" bestFit="1" customWidth="1"/>
    <col min="19" max="20" width="10.5703125" bestFit="1" customWidth="1"/>
  </cols>
  <sheetData>
    <row r="1" spans="1:12" x14ac:dyDescent="0.25">
      <c r="A1" s="32" t="s">
        <v>26</v>
      </c>
      <c r="B1" s="33" t="s">
        <v>39</v>
      </c>
    </row>
    <row r="2" spans="1:12" x14ac:dyDescent="0.25">
      <c r="A2" s="32" t="s">
        <v>22</v>
      </c>
      <c r="B2" s="33" t="s">
        <v>39</v>
      </c>
    </row>
    <row r="3" spans="1:12" x14ac:dyDescent="0.25">
      <c r="A3" s="32" t="s">
        <v>3</v>
      </c>
      <c r="B3" s="33" t="s">
        <v>39</v>
      </c>
    </row>
    <row r="4" spans="1:12" x14ac:dyDescent="0.25">
      <c r="A4" s="32" t="s">
        <v>30</v>
      </c>
      <c r="B4" s="33" t="s">
        <v>39</v>
      </c>
    </row>
    <row r="5" spans="1:12" x14ac:dyDescent="0.25">
      <c r="A5" s="32" t="s">
        <v>9</v>
      </c>
      <c r="B5" s="33" t="s">
        <v>39</v>
      </c>
    </row>
    <row r="7" spans="1:12" x14ac:dyDescent="0.25">
      <c r="A7" s="15"/>
      <c r="B7" s="16"/>
      <c r="C7" s="17" t="s">
        <v>8</v>
      </c>
      <c r="D7" s="16"/>
      <c r="E7" s="16"/>
      <c r="F7" s="16"/>
      <c r="G7" s="16"/>
      <c r="H7" s="16"/>
      <c r="I7" s="16"/>
      <c r="J7" s="16"/>
      <c r="K7" s="16"/>
      <c r="L7" s="18"/>
    </row>
    <row r="8" spans="1:12" x14ac:dyDescent="0.25">
      <c r="A8" s="17" t="s">
        <v>5</v>
      </c>
      <c r="B8" s="17" t="s">
        <v>6</v>
      </c>
      <c r="C8" s="15" t="s">
        <v>31</v>
      </c>
      <c r="D8" s="19" t="s">
        <v>176</v>
      </c>
      <c r="E8" s="19" t="s">
        <v>32</v>
      </c>
      <c r="F8" s="19" t="s">
        <v>33</v>
      </c>
      <c r="G8" s="19" t="s">
        <v>34</v>
      </c>
      <c r="H8" s="19" t="s">
        <v>95</v>
      </c>
      <c r="I8" s="19" t="s">
        <v>94</v>
      </c>
      <c r="J8" s="19" t="s">
        <v>93</v>
      </c>
      <c r="K8" s="19" t="s">
        <v>35</v>
      </c>
      <c r="L8" s="20" t="s">
        <v>36</v>
      </c>
    </row>
    <row r="9" spans="1:12" x14ac:dyDescent="0.25">
      <c r="A9" s="15" t="s">
        <v>117</v>
      </c>
      <c r="B9" s="21">
        <v>45700</v>
      </c>
      <c r="C9" s="22">
        <v>853.2</v>
      </c>
      <c r="D9" s="37">
        <v>853.2</v>
      </c>
      <c r="E9" s="23">
        <v>34.130000000000003</v>
      </c>
      <c r="F9" s="23">
        <v>0</v>
      </c>
      <c r="G9" s="23">
        <v>0</v>
      </c>
      <c r="H9" s="23">
        <v>0</v>
      </c>
      <c r="I9" s="23">
        <v>853.2</v>
      </c>
      <c r="J9" s="23">
        <v>0</v>
      </c>
      <c r="K9" s="23">
        <v>13.51</v>
      </c>
      <c r="L9" s="24">
        <v>62.25</v>
      </c>
    </row>
    <row r="10" spans="1:12" x14ac:dyDescent="0.25">
      <c r="A10" s="15" t="s">
        <v>175</v>
      </c>
      <c r="B10" s="16"/>
      <c r="C10" s="22">
        <v>853.2</v>
      </c>
      <c r="D10" s="37">
        <v>853.2</v>
      </c>
      <c r="E10" s="23">
        <v>34.130000000000003</v>
      </c>
      <c r="F10" s="23">
        <v>0</v>
      </c>
      <c r="G10" s="23">
        <v>0</v>
      </c>
      <c r="H10" s="23">
        <v>0</v>
      </c>
      <c r="I10" s="23">
        <v>853.2</v>
      </c>
      <c r="J10" s="23">
        <v>0</v>
      </c>
      <c r="K10" s="23">
        <v>13.51</v>
      </c>
      <c r="L10" s="24">
        <v>62.25</v>
      </c>
    </row>
    <row r="11" spans="1:12" x14ac:dyDescent="0.25">
      <c r="A11" s="15" t="s">
        <v>51</v>
      </c>
      <c r="B11" s="21">
        <v>45691</v>
      </c>
      <c r="C11" s="22">
        <v>9844.11</v>
      </c>
      <c r="D11" s="37">
        <v>9844.11</v>
      </c>
      <c r="E11" s="23">
        <v>393.76</v>
      </c>
      <c r="F11" s="23">
        <v>0</v>
      </c>
      <c r="G11" s="23">
        <v>0</v>
      </c>
      <c r="H11" s="23">
        <v>0</v>
      </c>
      <c r="I11" s="23">
        <v>14063.02</v>
      </c>
      <c r="J11" s="23">
        <v>0</v>
      </c>
      <c r="K11" s="23">
        <v>155.93</v>
      </c>
      <c r="L11" s="24">
        <v>718.23</v>
      </c>
    </row>
    <row r="12" spans="1:12" x14ac:dyDescent="0.25">
      <c r="A12" s="35"/>
      <c r="B12" s="25">
        <v>45692</v>
      </c>
      <c r="C12" s="26">
        <v>14548.480000000001</v>
      </c>
      <c r="D12" s="38">
        <v>14095.11</v>
      </c>
      <c r="E12" s="9">
        <v>563.79999999999995</v>
      </c>
      <c r="F12" s="9">
        <v>0</v>
      </c>
      <c r="G12" s="9">
        <v>0</v>
      </c>
      <c r="H12" s="9">
        <v>453.37</v>
      </c>
      <c r="I12" s="9">
        <v>145.11000000000001</v>
      </c>
      <c r="J12" s="9">
        <v>0</v>
      </c>
      <c r="K12" s="9">
        <v>223.27</v>
      </c>
      <c r="L12" s="27">
        <v>1028.3899999999999</v>
      </c>
    </row>
    <row r="13" spans="1:12" x14ac:dyDescent="0.25">
      <c r="A13" s="35"/>
      <c r="B13" s="25">
        <v>45694</v>
      </c>
      <c r="C13" s="26">
        <v>12642.059999999998</v>
      </c>
      <c r="D13" s="38">
        <v>12642.059999999998</v>
      </c>
      <c r="E13" s="9">
        <v>505.69</v>
      </c>
      <c r="F13" s="9">
        <v>0</v>
      </c>
      <c r="G13" s="9">
        <v>0</v>
      </c>
      <c r="H13" s="9">
        <v>0</v>
      </c>
      <c r="I13" s="9">
        <v>12642.059999999998</v>
      </c>
      <c r="J13" s="9">
        <v>0</v>
      </c>
      <c r="K13" s="9">
        <v>200.28</v>
      </c>
      <c r="L13" s="27">
        <v>922.36999999999989</v>
      </c>
    </row>
    <row r="14" spans="1:12" x14ac:dyDescent="0.25">
      <c r="A14" s="35"/>
      <c r="B14" s="25">
        <v>45700</v>
      </c>
      <c r="C14" s="26">
        <v>8430.9</v>
      </c>
      <c r="D14" s="38">
        <v>8386.7000000000007</v>
      </c>
      <c r="E14" s="9">
        <v>335.47</v>
      </c>
      <c r="F14" s="9">
        <v>0</v>
      </c>
      <c r="G14" s="9">
        <v>0</v>
      </c>
      <c r="H14" s="9">
        <v>44.2</v>
      </c>
      <c r="I14" s="9">
        <v>7026.7</v>
      </c>
      <c r="J14" s="9">
        <v>0</v>
      </c>
      <c r="K14" s="9">
        <v>132.86000000000001</v>
      </c>
      <c r="L14" s="27">
        <v>611.89</v>
      </c>
    </row>
    <row r="15" spans="1:12" x14ac:dyDescent="0.25">
      <c r="A15" s="35"/>
      <c r="B15" s="25">
        <v>45702</v>
      </c>
      <c r="C15" s="26">
        <v>125.71</v>
      </c>
      <c r="D15" s="38">
        <v>125.71</v>
      </c>
      <c r="E15" s="9">
        <v>5.03</v>
      </c>
      <c r="F15" s="9">
        <v>0</v>
      </c>
      <c r="G15" s="9">
        <v>0</v>
      </c>
      <c r="H15" s="9">
        <v>0</v>
      </c>
      <c r="I15" s="9">
        <v>125.71</v>
      </c>
      <c r="J15" s="9">
        <v>0</v>
      </c>
      <c r="K15" s="9">
        <v>1.98</v>
      </c>
      <c r="L15" s="27">
        <v>9.18</v>
      </c>
    </row>
    <row r="16" spans="1:12" x14ac:dyDescent="0.25">
      <c r="A16" s="35"/>
      <c r="B16" s="25">
        <v>45707</v>
      </c>
      <c r="C16" s="26">
        <v>27364.82</v>
      </c>
      <c r="D16" s="38">
        <v>27364.82</v>
      </c>
      <c r="E16" s="9">
        <v>1094.5899999999999</v>
      </c>
      <c r="F16" s="9">
        <v>0</v>
      </c>
      <c r="G16" s="9">
        <v>0</v>
      </c>
      <c r="H16" s="9">
        <v>0</v>
      </c>
      <c r="I16" s="9">
        <v>27364.82</v>
      </c>
      <c r="J16" s="9">
        <v>0</v>
      </c>
      <c r="K16" s="9">
        <v>433.46</v>
      </c>
      <c r="L16" s="27">
        <v>1996.54</v>
      </c>
    </row>
    <row r="17" spans="1:12" x14ac:dyDescent="0.25">
      <c r="A17" s="35"/>
      <c r="B17" s="25">
        <v>45708</v>
      </c>
      <c r="C17" s="26">
        <v>68.95</v>
      </c>
      <c r="D17" s="38">
        <v>68.95</v>
      </c>
      <c r="E17" s="9">
        <v>2.76</v>
      </c>
      <c r="F17" s="9">
        <v>0</v>
      </c>
      <c r="G17" s="9">
        <v>0</v>
      </c>
      <c r="H17" s="9">
        <v>0</v>
      </c>
      <c r="I17" s="9">
        <v>68.95</v>
      </c>
      <c r="J17" s="9">
        <v>0</v>
      </c>
      <c r="K17" s="9">
        <v>1.0900000000000001</v>
      </c>
      <c r="L17" s="27">
        <v>5.03</v>
      </c>
    </row>
    <row r="18" spans="1:12" x14ac:dyDescent="0.25">
      <c r="A18" s="15" t="s">
        <v>56</v>
      </c>
      <c r="B18" s="16"/>
      <c r="C18" s="22">
        <v>73025.03</v>
      </c>
      <c r="D18" s="37">
        <v>72527.459999999992</v>
      </c>
      <c r="E18" s="23">
        <v>2901.1000000000004</v>
      </c>
      <c r="F18" s="23">
        <v>0</v>
      </c>
      <c r="G18" s="23">
        <v>0</v>
      </c>
      <c r="H18" s="23">
        <v>497.57</v>
      </c>
      <c r="I18" s="23">
        <v>61436.369999999995</v>
      </c>
      <c r="J18" s="23">
        <v>0</v>
      </c>
      <c r="K18" s="23">
        <v>1148.8699999999999</v>
      </c>
      <c r="L18" s="24">
        <v>5291.6299999999992</v>
      </c>
    </row>
    <row r="19" spans="1:12" x14ac:dyDescent="0.25">
      <c r="A19" s="15" t="s">
        <v>52</v>
      </c>
      <c r="B19" s="21">
        <v>45691</v>
      </c>
      <c r="C19" s="22">
        <v>9844.11</v>
      </c>
      <c r="D19" s="37">
        <v>0</v>
      </c>
      <c r="E19" s="23">
        <v>0</v>
      </c>
      <c r="F19" s="23">
        <v>9844.11</v>
      </c>
      <c r="G19" s="23">
        <v>0</v>
      </c>
      <c r="H19" s="23">
        <v>0</v>
      </c>
      <c r="I19" s="23">
        <v>9844.11</v>
      </c>
      <c r="J19" s="23">
        <v>0</v>
      </c>
      <c r="K19" s="23">
        <v>0</v>
      </c>
      <c r="L19" s="24">
        <v>0</v>
      </c>
    </row>
    <row r="20" spans="1:12" x14ac:dyDescent="0.25">
      <c r="A20" s="35"/>
      <c r="B20" s="25">
        <v>45692</v>
      </c>
      <c r="C20" s="26">
        <v>14095.11</v>
      </c>
      <c r="D20" s="38">
        <v>0</v>
      </c>
      <c r="E20" s="9">
        <v>0</v>
      </c>
      <c r="F20" s="9">
        <v>14095.11</v>
      </c>
      <c r="G20" s="9">
        <v>0</v>
      </c>
      <c r="H20" s="9">
        <v>0</v>
      </c>
      <c r="I20" s="9">
        <v>14095.11</v>
      </c>
      <c r="J20" s="9">
        <v>0</v>
      </c>
      <c r="K20" s="9">
        <v>0</v>
      </c>
      <c r="L20" s="27">
        <v>0</v>
      </c>
    </row>
    <row r="21" spans="1:12" x14ac:dyDescent="0.25">
      <c r="A21" s="35"/>
      <c r="B21" s="25">
        <v>45694</v>
      </c>
      <c r="C21" s="26">
        <v>12642.059999999998</v>
      </c>
      <c r="D21" s="38">
        <v>0</v>
      </c>
      <c r="E21" s="9">
        <v>0</v>
      </c>
      <c r="F21" s="9">
        <v>12642.059999999998</v>
      </c>
      <c r="G21" s="9">
        <v>0</v>
      </c>
      <c r="H21" s="9">
        <v>0</v>
      </c>
      <c r="I21" s="9">
        <v>12642.059999999998</v>
      </c>
      <c r="J21" s="9">
        <v>0</v>
      </c>
      <c r="K21" s="9">
        <v>0</v>
      </c>
      <c r="L21" s="27">
        <v>0</v>
      </c>
    </row>
    <row r="22" spans="1:12" x14ac:dyDescent="0.25">
      <c r="A22" s="35"/>
      <c r="B22" s="25">
        <v>45700</v>
      </c>
      <c r="C22" s="26">
        <v>8386.7000000000007</v>
      </c>
      <c r="D22" s="38">
        <v>0</v>
      </c>
      <c r="E22" s="9">
        <v>0</v>
      </c>
      <c r="F22" s="9">
        <v>8386.7000000000007</v>
      </c>
      <c r="G22" s="9">
        <v>0</v>
      </c>
      <c r="H22" s="9">
        <v>0</v>
      </c>
      <c r="I22" s="9">
        <v>8386.7000000000007</v>
      </c>
      <c r="J22" s="9">
        <v>0</v>
      </c>
      <c r="K22" s="9">
        <v>0</v>
      </c>
      <c r="L22" s="27">
        <v>0</v>
      </c>
    </row>
    <row r="23" spans="1:12" x14ac:dyDescent="0.25">
      <c r="A23" s="35"/>
      <c r="B23" s="25">
        <v>45702</v>
      </c>
      <c r="C23" s="26">
        <v>125.71</v>
      </c>
      <c r="D23" s="38">
        <v>0</v>
      </c>
      <c r="E23" s="9">
        <v>0</v>
      </c>
      <c r="F23" s="9">
        <v>125.71</v>
      </c>
      <c r="G23" s="9">
        <v>0</v>
      </c>
      <c r="H23" s="9">
        <v>0</v>
      </c>
      <c r="I23" s="9">
        <v>125.71</v>
      </c>
      <c r="J23" s="9">
        <v>0</v>
      </c>
      <c r="K23" s="9">
        <v>0</v>
      </c>
      <c r="L23" s="27">
        <v>0</v>
      </c>
    </row>
    <row r="24" spans="1:12" x14ac:dyDescent="0.25">
      <c r="A24" s="35"/>
      <c r="B24" s="25">
        <v>45707</v>
      </c>
      <c r="C24" s="26">
        <v>27364.82</v>
      </c>
      <c r="D24" s="38">
        <v>0</v>
      </c>
      <c r="E24" s="9">
        <v>0</v>
      </c>
      <c r="F24" s="9">
        <v>27364.82</v>
      </c>
      <c r="G24" s="9">
        <v>0</v>
      </c>
      <c r="H24" s="9">
        <v>0</v>
      </c>
      <c r="I24" s="9">
        <v>27364.82</v>
      </c>
      <c r="J24" s="9">
        <v>0</v>
      </c>
      <c r="K24" s="9">
        <v>0</v>
      </c>
      <c r="L24" s="27">
        <v>0</v>
      </c>
    </row>
    <row r="25" spans="1:12" x14ac:dyDescent="0.25">
      <c r="A25" s="35"/>
      <c r="B25" s="25">
        <v>45708</v>
      </c>
      <c r="C25" s="26">
        <v>68.95</v>
      </c>
      <c r="D25" s="38">
        <v>0</v>
      </c>
      <c r="E25" s="9">
        <v>0</v>
      </c>
      <c r="F25" s="9">
        <v>68.95</v>
      </c>
      <c r="G25" s="9">
        <v>0</v>
      </c>
      <c r="H25" s="9">
        <v>0</v>
      </c>
      <c r="I25" s="9">
        <v>68.95</v>
      </c>
      <c r="J25" s="9">
        <v>0</v>
      </c>
      <c r="K25" s="9">
        <v>0</v>
      </c>
      <c r="L25" s="27">
        <v>0</v>
      </c>
    </row>
    <row r="26" spans="1:12" x14ac:dyDescent="0.25">
      <c r="A26" s="15" t="s">
        <v>57</v>
      </c>
      <c r="B26" s="16"/>
      <c r="C26" s="22">
        <v>72527.459999999992</v>
      </c>
      <c r="D26" s="37">
        <v>0</v>
      </c>
      <c r="E26" s="23">
        <v>0</v>
      </c>
      <c r="F26" s="23">
        <v>72527.459999999992</v>
      </c>
      <c r="G26" s="23">
        <v>0</v>
      </c>
      <c r="H26" s="23">
        <v>0</v>
      </c>
      <c r="I26" s="23">
        <v>72527.459999999992</v>
      </c>
      <c r="J26" s="23">
        <v>0</v>
      </c>
      <c r="K26" s="23">
        <v>0</v>
      </c>
      <c r="L26" s="24">
        <v>0</v>
      </c>
    </row>
    <row r="27" spans="1:12" x14ac:dyDescent="0.25">
      <c r="A27" s="15" t="s">
        <v>48</v>
      </c>
      <c r="B27" s="21">
        <v>45693</v>
      </c>
      <c r="C27" s="22">
        <v>-34415.93</v>
      </c>
      <c r="D27" s="37">
        <v>0</v>
      </c>
      <c r="E27" s="23">
        <v>0</v>
      </c>
      <c r="F27" s="23">
        <v>-34415.93</v>
      </c>
      <c r="G27" s="23">
        <v>0</v>
      </c>
      <c r="H27" s="23">
        <v>0</v>
      </c>
      <c r="I27" s="23">
        <v>-34415.93</v>
      </c>
      <c r="J27" s="23">
        <v>0</v>
      </c>
      <c r="K27" s="23">
        <v>0</v>
      </c>
      <c r="L27" s="24">
        <v>0</v>
      </c>
    </row>
    <row r="28" spans="1:12" x14ac:dyDescent="0.25">
      <c r="A28" s="35"/>
      <c r="B28" s="25">
        <v>45694</v>
      </c>
      <c r="C28" s="26">
        <v>-9426.5400000000009</v>
      </c>
      <c r="D28" s="38">
        <v>0</v>
      </c>
      <c r="E28" s="9">
        <v>0</v>
      </c>
      <c r="F28" s="9">
        <v>-9426.5400000000009</v>
      </c>
      <c r="G28" s="9">
        <v>0</v>
      </c>
      <c r="H28" s="9">
        <v>0</v>
      </c>
      <c r="I28" s="9">
        <v>-9426.5400000000009</v>
      </c>
      <c r="J28" s="9">
        <v>0</v>
      </c>
      <c r="K28" s="9">
        <v>0</v>
      </c>
      <c r="L28" s="27">
        <v>0</v>
      </c>
    </row>
    <row r="29" spans="1:12" x14ac:dyDescent="0.25">
      <c r="A29" s="35"/>
      <c r="B29" s="25">
        <v>45698</v>
      </c>
      <c r="C29" s="26">
        <v>-767724.92</v>
      </c>
      <c r="D29" s="38">
        <v>0</v>
      </c>
      <c r="E29" s="9">
        <v>0</v>
      </c>
      <c r="F29" s="9">
        <v>-767724.92</v>
      </c>
      <c r="G29" s="9">
        <v>0</v>
      </c>
      <c r="H29" s="9">
        <v>0</v>
      </c>
      <c r="I29" s="9">
        <v>-698183.62</v>
      </c>
      <c r="J29" s="9">
        <v>0</v>
      </c>
      <c r="K29" s="9">
        <v>-11636.39</v>
      </c>
      <c r="L29" s="27">
        <v>-53472.02</v>
      </c>
    </row>
    <row r="30" spans="1:12" x14ac:dyDescent="0.25">
      <c r="A30" s="35"/>
      <c r="B30" s="25">
        <v>45699</v>
      </c>
      <c r="C30" s="26">
        <v>-17139.82</v>
      </c>
      <c r="D30" s="38">
        <v>0</v>
      </c>
      <c r="E30" s="9">
        <v>0</v>
      </c>
      <c r="F30" s="9">
        <v>-8947.89</v>
      </c>
      <c r="G30" s="9">
        <v>0</v>
      </c>
      <c r="H30" s="9">
        <v>0</v>
      </c>
      <c r="I30" s="9">
        <v>-17139.82</v>
      </c>
      <c r="J30" s="9">
        <v>0</v>
      </c>
      <c r="K30" s="9">
        <v>0</v>
      </c>
      <c r="L30" s="27">
        <v>0</v>
      </c>
    </row>
    <row r="31" spans="1:12" x14ac:dyDescent="0.25">
      <c r="A31" s="35"/>
      <c r="B31" s="25">
        <v>45701</v>
      </c>
      <c r="C31" s="26">
        <v>-1164128.25</v>
      </c>
      <c r="D31" s="38">
        <v>0</v>
      </c>
      <c r="E31" s="9">
        <v>0</v>
      </c>
      <c r="F31" s="9">
        <v>-1164128.25</v>
      </c>
      <c r="G31" s="9">
        <v>0</v>
      </c>
      <c r="H31" s="9">
        <v>0</v>
      </c>
      <c r="I31" s="9">
        <v>-1058680.3400000001</v>
      </c>
      <c r="J31" s="9">
        <v>0</v>
      </c>
      <c r="K31" s="9">
        <v>-17644.669999999998</v>
      </c>
      <c r="L31" s="27">
        <v>-81081.48</v>
      </c>
    </row>
    <row r="32" spans="1:12" x14ac:dyDescent="0.25">
      <c r="A32" s="35"/>
      <c r="B32" s="25">
        <v>45705</v>
      </c>
      <c r="C32" s="26">
        <v>-38020.910000000003</v>
      </c>
      <c r="D32" s="38">
        <v>0</v>
      </c>
      <c r="E32" s="9">
        <v>0</v>
      </c>
      <c r="F32" s="9">
        <v>-25699.78</v>
      </c>
      <c r="G32" s="9">
        <v>0</v>
      </c>
      <c r="H32" s="9">
        <v>0</v>
      </c>
      <c r="I32" s="9">
        <v>-38020.910000000003</v>
      </c>
      <c r="J32" s="9">
        <v>0</v>
      </c>
      <c r="K32" s="9">
        <v>0</v>
      </c>
      <c r="L32" s="27">
        <v>0</v>
      </c>
    </row>
    <row r="33" spans="1:12" x14ac:dyDescent="0.25">
      <c r="A33" s="35"/>
      <c r="B33" s="25">
        <v>45707</v>
      </c>
      <c r="C33" s="26">
        <v>-948409.49</v>
      </c>
      <c r="D33" s="38">
        <v>0</v>
      </c>
      <c r="E33" s="9">
        <v>0</v>
      </c>
      <c r="F33" s="9">
        <v>-948409.49</v>
      </c>
      <c r="G33" s="9">
        <v>0</v>
      </c>
      <c r="H33" s="9">
        <v>0</v>
      </c>
      <c r="I33" s="9">
        <v>-862501.61</v>
      </c>
      <c r="J33" s="9">
        <v>0</v>
      </c>
      <c r="K33" s="9">
        <v>-14375</v>
      </c>
      <c r="L33" s="27">
        <v>-66056.67</v>
      </c>
    </row>
    <row r="34" spans="1:12" x14ac:dyDescent="0.25">
      <c r="A34" s="35"/>
      <c r="B34" s="25">
        <v>45708</v>
      </c>
      <c r="C34" s="26">
        <v>-389135.51</v>
      </c>
      <c r="D34" s="38">
        <v>0</v>
      </c>
      <c r="E34" s="9">
        <v>0</v>
      </c>
      <c r="F34" s="9">
        <v>-389135.51</v>
      </c>
      <c r="G34" s="9">
        <v>0</v>
      </c>
      <c r="H34" s="9">
        <v>0</v>
      </c>
      <c r="I34" s="9">
        <v>-353887.24</v>
      </c>
      <c r="J34" s="9">
        <v>0</v>
      </c>
      <c r="K34" s="9">
        <v>-5898.11</v>
      </c>
      <c r="L34" s="27">
        <v>-27103.279999999999</v>
      </c>
    </row>
    <row r="35" spans="1:12" x14ac:dyDescent="0.25">
      <c r="A35" s="35"/>
      <c r="B35" s="25">
        <v>45709</v>
      </c>
      <c r="C35" s="26">
        <v>-1036140.53</v>
      </c>
      <c r="D35" s="38">
        <v>0</v>
      </c>
      <c r="E35" s="9">
        <v>0</v>
      </c>
      <c r="F35" s="9">
        <v>-1036140.53</v>
      </c>
      <c r="G35" s="9">
        <v>0</v>
      </c>
      <c r="H35" s="9">
        <v>0</v>
      </c>
      <c r="I35" s="9">
        <v>-942285.87</v>
      </c>
      <c r="J35" s="9">
        <v>0</v>
      </c>
      <c r="K35" s="9">
        <v>-15704.74</v>
      </c>
      <c r="L35" s="27">
        <v>-72167.12</v>
      </c>
    </row>
    <row r="36" spans="1:12" x14ac:dyDescent="0.25">
      <c r="A36" s="35"/>
      <c r="B36" s="25">
        <v>45712</v>
      </c>
      <c r="C36" s="26">
        <v>-78560.27</v>
      </c>
      <c r="D36" s="38">
        <v>0</v>
      </c>
      <c r="E36" s="9">
        <v>0</v>
      </c>
      <c r="F36" s="9">
        <v>-53195.430000000008</v>
      </c>
      <c r="G36" s="9">
        <v>0</v>
      </c>
      <c r="H36" s="9">
        <v>0</v>
      </c>
      <c r="I36" s="9">
        <v>-78560.27</v>
      </c>
      <c r="J36" s="9">
        <v>0</v>
      </c>
      <c r="K36" s="9">
        <v>0</v>
      </c>
      <c r="L36" s="27">
        <v>0</v>
      </c>
    </row>
    <row r="37" spans="1:12" x14ac:dyDescent="0.25">
      <c r="A37" s="15" t="s">
        <v>58</v>
      </c>
      <c r="B37" s="16"/>
      <c r="C37" s="22">
        <v>-4483102.17</v>
      </c>
      <c r="D37" s="37">
        <v>0</v>
      </c>
      <c r="E37" s="23">
        <v>0</v>
      </c>
      <c r="F37" s="23">
        <v>-4437224.2699999996</v>
      </c>
      <c r="G37" s="23">
        <v>0</v>
      </c>
      <c r="H37" s="23">
        <v>0</v>
      </c>
      <c r="I37" s="23">
        <v>-4093102.15</v>
      </c>
      <c r="J37" s="23">
        <v>0</v>
      </c>
      <c r="K37" s="23">
        <v>-65258.909999999996</v>
      </c>
      <c r="L37" s="24">
        <v>-299880.56999999995</v>
      </c>
    </row>
    <row r="38" spans="1:12" x14ac:dyDescent="0.25">
      <c r="A38" s="15" t="s">
        <v>37</v>
      </c>
      <c r="B38" s="21">
        <v>45691</v>
      </c>
      <c r="C38" s="22">
        <v>3479.9</v>
      </c>
      <c r="D38" s="37">
        <v>3479.9</v>
      </c>
      <c r="E38" s="23">
        <v>139.19999999999999</v>
      </c>
      <c r="F38" s="23">
        <v>0</v>
      </c>
      <c r="G38" s="23">
        <v>0</v>
      </c>
      <c r="H38" s="23">
        <v>0</v>
      </c>
      <c r="I38" s="23">
        <v>3479.9</v>
      </c>
      <c r="J38" s="23">
        <v>0</v>
      </c>
      <c r="K38" s="23">
        <v>55.13</v>
      </c>
      <c r="L38" s="24">
        <v>253.88</v>
      </c>
    </row>
    <row r="39" spans="1:12" x14ac:dyDescent="0.25">
      <c r="A39" s="35"/>
      <c r="B39" s="25">
        <v>45692</v>
      </c>
      <c r="C39" s="26">
        <v>2017.4</v>
      </c>
      <c r="D39" s="38">
        <v>2017.4</v>
      </c>
      <c r="E39" s="9">
        <v>80.7</v>
      </c>
      <c r="F39" s="9">
        <v>0</v>
      </c>
      <c r="G39" s="9">
        <v>0</v>
      </c>
      <c r="H39" s="9">
        <v>0</v>
      </c>
      <c r="I39" s="9">
        <v>2017.4</v>
      </c>
      <c r="J39" s="9">
        <v>0</v>
      </c>
      <c r="K39" s="9">
        <v>31.95</v>
      </c>
      <c r="L39" s="27">
        <v>147.18</v>
      </c>
    </row>
    <row r="40" spans="1:12" x14ac:dyDescent="0.25">
      <c r="A40" s="35"/>
      <c r="B40" s="25">
        <v>45698</v>
      </c>
      <c r="C40" s="26">
        <v>7859.55</v>
      </c>
      <c r="D40" s="38">
        <v>7859.55</v>
      </c>
      <c r="E40" s="9">
        <v>314.38</v>
      </c>
      <c r="F40" s="9">
        <v>0</v>
      </c>
      <c r="G40" s="9">
        <v>0</v>
      </c>
      <c r="H40" s="9">
        <v>0</v>
      </c>
      <c r="I40" s="9">
        <v>7859.55</v>
      </c>
      <c r="J40" s="9">
        <v>0</v>
      </c>
      <c r="K40" s="9">
        <v>124.5</v>
      </c>
      <c r="L40" s="27">
        <v>573.44000000000005</v>
      </c>
    </row>
    <row r="41" spans="1:12" x14ac:dyDescent="0.25">
      <c r="A41" s="35"/>
      <c r="B41" s="25">
        <v>45701</v>
      </c>
      <c r="C41" s="26">
        <v>3538.08</v>
      </c>
      <c r="D41" s="38">
        <v>3538.08</v>
      </c>
      <c r="E41" s="9">
        <v>141.52000000000001</v>
      </c>
      <c r="F41" s="9">
        <v>0</v>
      </c>
      <c r="G41" s="9">
        <v>0</v>
      </c>
      <c r="H41" s="9">
        <v>0</v>
      </c>
      <c r="I41" s="9">
        <v>3538.08</v>
      </c>
      <c r="J41" s="9">
        <v>0</v>
      </c>
      <c r="K41" s="9">
        <v>56.04</v>
      </c>
      <c r="L41" s="27">
        <v>258.14</v>
      </c>
    </row>
    <row r="42" spans="1:12" x14ac:dyDescent="0.25">
      <c r="A42" s="35"/>
      <c r="B42" s="25">
        <v>45702</v>
      </c>
      <c r="C42" s="26">
        <v>1323</v>
      </c>
      <c r="D42" s="38">
        <v>1323</v>
      </c>
      <c r="E42" s="9">
        <v>52.92</v>
      </c>
      <c r="F42" s="9">
        <v>0</v>
      </c>
      <c r="G42" s="9">
        <v>0</v>
      </c>
      <c r="H42" s="9">
        <v>42.99</v>
      </c>
      <c r="I42" s="9">
        <v>1323</v>
      </c>
      <c r="J42" s="9">
        <v>0</v>
      </c>
      <c r="K42" s="9">
        <v>20.96</v>
      </c>
      <c r="L42" s="27">
        <v>96.53</v>
      </c>
    </row>
    <row r="43" spans="1:12" x14ac:dyDescent="0.25">
      <c r="A43" s="35"/>
      <c r="B43" s="25">
        <v>45706</v>
      </c>
      <c r="C43" s="26">
        <v>3957.72</v>
      </c>
      <c r="D43" s="38">
        <v>3957.72</v>
      </c>
      <c r="E43" s="9">
        <v>158.31</v>
      </c>
      <c r="F43" s="9">
        <v>0</v>
      </c>
      <c r="G43" s="9">
        <v>0</v>
      </c>
      <c r="H43" s="9">
        <v>0</v>
      </c>
      <c r="I43" s="9">
        <v>3957.72</v>
      </c>
      <c r="J43" s="9">
        <v>0</v>
      </c>
      <c r="K43" s="9">
        <v>62.69</v>
      </c>
      <c r="L43" s="27">
        <v>288.75</v>
      </c>
    </row>
    <row r="44" spans="1:12" x14ac:dyDescent="0.25">
      <c r="A44" s="35"/>
      <c r="B44" s="25">
        <v>45709</v>
      </c>
      <c r="C44" s="26">
        <v>10078.74</v>
      </c>
      <c r="D44" s="38">
        <v>10078.74</v>
      </c>
      <c r="E44" s="9">
        <v>403.15</v>
      </c>
      <c r="F44" s="9">
        <v>0</v>
      </c>
      <c r="G44" s="9">
        <v>0</v>
      </c>
      <c r="H44" s="9">
        <v>0</v>
      </c>
      <c r="I44" s="9">
        <v>10078.74</v>
      </c>
      <c r="J44" s="9">
        <v>0</v>
      </c>
      <c r="K44" s="9">
        <v>159.65</v>
      </c>
      <c r="L44" s="27">
        <v>735.32999999999993</v>
      </c>
    </row>
    <row r="45" spans="1:12" x14ac:dyDescent="0.25">
      <c r="A45" s="15" t="s">
        <v>40</v>
      </c>
      <c r="B45" s="16"/>
      <c r="C45" s="22">
        <v>32254.39</v>
      </c>
      <c r="D45" s="37">
        <v>32254.39</v>
      </c>
      <c r="E45" s="23">
        <v>1290.1799999999998</v>
      </c>
      <c r="F45" s="23">
        <v>0</v>
      </c>
      <c r="G45" s="23">
        <v>0</v>
      </c>
      <c r="H45" s="23">
        <v>42.99</v>
      </c>
      <c r="I45" s="23">
        <v>32254.39</v>
      </c>
      <c r="J45" s="23">
        <v>0</v>
      </c>
      <c r="K45" s="23">
        <v>510.91999999999996</v>
      </c>
      <c r="L45" s="24">
        <v>2353.25</v>
      </c>
    </row>
    <row r="46" spans="1:12" x14ac:dyDescent="0.25">
      <c r="A46" s="15" t="s">
        <v>38</v>
      </c>
      <c r="B46" s="21">
        <v>45691</v>
      </c>
      <c r="C46" s="22">
        <v>3479.9</v>
      </c>
      <c r="D46" s="37">
        <v>0</v>
      </c>
      <c r="E46" s="23">
        <v>0</v>
      </c>
      <c r="F46" s="23">
        <v>0</v>
      </c>
      <c r="G46" s="23">
        <v>3479.9</v>
      </c>
      <c r="H46" s="23">
        <v>0</v>
      </c>
      <c r="I46" s="23">
        <v>3479.9</v>
      </c>
      <c r="J46" s="23">
        <v>0</v>
      </c>
      <c r="K46" s="23">
        <v>0</v>
      </c>
      <c r="L46" s="24">
        <v>0</v>
      </c>
    </row>
    <row r="47" spans="1:12" x14ac:dyDescent="0.25">
      <c r="A47" s="35"/>
      <c r="B47" s="25">
        <v>45692</v>
      </c>
      <c r="C47" s="26">
        <v>2017.4</v>
      </c>
      <c r="D47" s="38">
        <v>0</v>
      </c>
      <c r="E47" s="9">
        <v>0</v>
      </c>
      <c r="F47" s="9">
        <v>0</v>
      </c>
      <c r="G47" s="9">
        <v>2017.4</v>
      </c>
      <c r="H47" s="9">
        <v>0</v>
      </c>
      <c r="I47" s="9">
        <v>2017.4</v>
      </c>
      <c r="J47" s="9">
        <v>0</v>
      </c>
      <c r="K47" s="9">
        <v>0</v>
      </c>
      <c r="L47" s="27">
        <v>0</v>
      </c>
    </row>
    <row r="48" spans="1:12" x14ac:dyDescent="0.25">
      <c r="A48" s="35"/>
      <c r="B48" s="25">
        <v>45698</v>
      </c>
      <c r="C48" s="26">
        <v>7859.55</v>
      </c>
      <c r="D48" s="38">
        <v>0</v>
      </c>
      <c r="E48" s="9">
        <v>0</v>
      </c>
      <c r="F48" s="9">
        <v>0</v>
      </c>
      <c r="G48" s="9">
        <v>7859.55</v>
      </c>
      <c r="H48" s="9">
        <v>0</v>
      </c>
      <c r="I48" s="9">
        <v>7859.55</v>
      </c>
      <c r="J48" s="9">
        <v>0</v>
      </c>
      <c r="K48" s="9">
        <v>0</v>
      </c>
      <c r="L48" s="27">
        <v>0</v>
      </c>
    </row>
    <row r="49" spans="1:12" x14ac:dyDescent="0.25">
      <c r="A49" s="35"/>
      <c r="B49" s="25">
        <v>45701</v>
      </c>
      <c r="C49" s="26">
        <v>3538.08</v>
      </c>
      <c r="D49" s="38">
        <v>0</v>
      </c>
      <c r="E49" s="9">
        <v>0</v>
      </c>
      <c r="F49" s="9">
        <v>0</v>
      </c>
      <c r="G49" s="9">
        <v>3538.08</v>
      </c>
      <c r="H49" s="9">
        <v>0</v>
      </c>
      <c r="I49" s="9">
        <v>3538.08</v>
      </c>
      <c r="J49" s="9">
        <v>0</v>
      </c>
      <c r="K49" s="9">
        <v>0</v>
      </c>
      <c r="L49" s="27">
        <v>0</v>
      </c>
    </row>
    <row r="50" spans="1:12" x14ac:dyDescent="0.25">
      <c r="A50" s="35"/>
      <c r="B50" s="25">
        <v>45702</v>
      </c>
      <c r="C50" s="26">
        <v>1323</v>
      </c>
      <c r="D50" s="38">
        <v>0</v>
      </c>
      <c r="E50" s="9">
        <v>0</v>
      </c>
      <c r="F50" s="9">
        <v>0</v>
      </c>
      <c r="G50" s="9">
        <v>1323</v>
      </c>
      <c r="H50" s="9">
        <v>0</v>
      </c>
      <c r="I50" s="9">
        <v>1323</v>
      </c>
      <c r="J50" s="9">
        <v>0</v>
      </c>
      <c r="K50" s="9">
        <v>0</v>
      </c>
      <c r="L50" s="27">
        <v>0</v>
      </c>
    </row>
    <row r="51" spans="1:12" x14ac:dyDescent="0.25">
      <c r="A51" s="35"/>
      <c r="B51" s="25">
        <v>45706</v>
      </c>
      <c r="C51" s="26">
        <v>3957.72</v>
      </c>
      <c r="D51" s="38">
        <v>0</v>
      </c>
      <c r="E51" s="9">
        <v>0</v>
      </c>
      <c r="F51" s="9">
        <v>0</v>
      </c>
      <c r="G51" s="9">
        <v>3957.72</v>
      </c>
      <c r="H51" s="9">
        <v>0</v>
      </c>
      <c r="I51" s="9">
        <v>3957.72</v>
      </c>
      <c r="J51" s="9">
        <v>0</v>
      </c>
      <c r="K51" s="9">
        <v>0</v>
      </c>
      <c r="L51" s="27">
        <v>0</v>
      </c>
    </row>
    <row r="52" spans="1:12" x14ac:dyDescent="0.25">
      <c r="A52" s="35"/>
      <c r="B52" s="25">
        <v>45709</v>
      </c>
      <c r="C52" s="26">
        <v>6709.5</v>
      </c>
      <c r="D52" s="38">
        <v>0</v>
      </c>
      <c r="E52" s="9">
        <v>0</v>
      </c>
      <c r="F52" s="9">
        <v>0</v>
      </c>
      <c r="G52" s="9">
        <v>6709.5</v>
      </c>
      <c r="H52" s="9">
        <v>0</v>
      </c>
      <c r="I52" s="9">
        <v>6709.5</v>
      </c>
      <c r="J52" s="9">
        <v>0</v>
      </c>
      <c r="K52" s="9">
        <v>0</v>
      </c>
      <c r="L52" s="27">
        <v>0</v>
      </c>
    </row>
    <row r="53" spans="1:12" x14ac:dyDescent="0.25">
      <c r="A53" s="15" t="s">
        <v>41</v>
      </c>
      <c r="B53" s="16"/>
      <c r="C53" s="22">
        <v>28885.15</v>
      </c>
      <c r="D53" s="37">
        <v>0</v>
      </c>
      <c r="E53" s="23">
        <v>0</v>
      </c>
      <c r="F53" s="23">
        <v>0</v>
      </c>
      <c r="G53" s="23">
        <v>28885.15</v>
      </c>
      <c r="H53" s="23">
        <v>0</v>
      </c>
      <c r="I53" s="23">
        <v>28885.15</v>
      </c>
      <c r="J53" s="23">
        <v>0</v>
      </c>
      <c r="K53" s="23">
        <v>0</v>
      </c>
      <c r="L53" s="24">
        <v>0</v>
      </c>
    </row>
    <row r="54" spans="1:12" x14ac:dyDescent="0.25">
      <c r="A54" s="15" t="s">
        <v>43</v>
      </c>
      <c r="B54" s="15" t="s">
        <v>43</v>
      </c>
      <c r="C54" s="22"/>
      <c r="D54" s="37"/>
      <c r="E54" s="23"/>
      <c r="F54" s="23"/>
      <c r="G54" s="23"/>
      <c r="H54" s="23"/>
      <c r="I54" s="23"/>
      <c r="J54" s="23"/>
      <c r="K54" s="23"/>
      <c r="L54" s="24"/>
    </row>
    <row r="55" spans="1:12" x14ac:dyDescent="0.25">
      <c r="A55" s="15" t="s">
        <v>44</v>
      </c>
      <c r="B55" s="16"/>
      <c r="C55" s="22"/>
      <c r="D55" s="37"/>
      <c r="E55" s="23"/>
      <c r="F55" s="23"/>
      <c r="G55" s="23"/>
      <c r="H55" s="23"/>
      <c r="I55" s="23"/>
      <c r="J55" s="23"/>
      <c r="K55" s="23"/>
      <c r="L55" s="24"/>
    </row>
    <row r="56" spans="1:12" x14ac:dyDescent="0.25">
      <c r="A56" s="15" t="s">
        <v>67</v>
      </c>
      <c r="B56" s="21">
        <v>45691</v>
      </c>
      <c r="C56" s="22">
        <v>85.02</v>
      </c>
      <c r="D56" s="37">
        <v>85.02</v>
      </c>
      <c r="E56" s="23">
        <v>3.4</v>
      </c>
      <c r="F56" s="23">
        <v>0</v>
      </c>
      <c r="G56" s="23">
        <v>0</v>
      </c>
      <c r="H56" s="23">
        <v>0</v>
      </c>
      <c r="I56" s="23">
        <v>85.02</v>
      </c>
      <c r="J56" s="23">
        <v>0</v>
      </c>
      <c r="K56" s="23">
        <v>1.35</v>
      </c>
      <c r="L56" s="24">
        <v>6.2</v>
      </c>
    </row>
    <row r="57" spans="1:12" x14ac:dyDescent="0.25">
      <c r="A57" s="35"/>
      <c r="B57" s="25">
        <v>45692</v>
      </c>
      <c r="C57" s="26">
        <v>283.39</v>
      </c>
      <c r="D57" s="38">
        <v>283.39</v>
      </c>
      <c r="E57" s="9">
        <v>11.34</v>
      </c>
      <c r="F57" s="9">
        <v>0</v>
      </c>
      <c r="G57" s="9">
        <v>0</v>
      </c>
      <c r="H57" s="9">
        <v>0</v>
      </c>
      <c r="I57" s="9">
        <v>283.39</v>
      </c>
      <c r="J57" s="9">
        <v>0</v>
      </c>
      <c r="K57" s="9">
        <v>4.49</v>
      </c>
      <c r="L57" s="27">
        <v>20.68</v>
      </c>
    </row>
    <row r="58" spans="1:12" x14ac:dyDescent="0.25">
      <c r="A58" s="35"/>
      <c r="B58" s="25">
        <v>45693</v>
      </c>
      <c r="C58" s="26">
        <v>311.82</v>
      </c>
      <c r="D58" s="38">
        <v>311.82</v>
      </c>
      <c r="E58" s="9">
        <v>12.47</v>
      </c>
      <c r="F58" s="9">
        <v>0</v>
      </c>
      <c r="G58" s="9">
        <v>0</v>
      </c>
      <c r="H58" s="9">
        <v>0</v>
      </c>
      <c r="I58" s="9">
        <v>311.82</v>
      </c>
      <c r="J58" s="9">
        <v>0</v>
      </c>
      <c r="K58" s="9">
        <v>4.96</v>
      </c>
      <c r="L58" s="27">
        <v>22.75</v>
      </c>
    </row>
    <row r="59" spans="1:12" x14ac:dyDescent="0.25">
      <c r="A59" s="35"/>
      <c r="B59" s="25">
        <v>45705</v>
      </c>
      <c r="C59" s="26">
        <v>479.13</v>
      </c>
      <c r="D59" s="38">
        <v>478.52</v>
      </c>
      <c r="E59" s="9">
        <v>19.14</v>
      </c>
      <c r="F59" s="9">
        <v>0</v>
      </c>
      <c r="G59" s="9">
        <v>0</v>
      </c>
      <c r="H59" s="9">
        <v>0.61</v>
      </c>
      <c r="I59" s="9">
        <v>459.52</v>
      </c>
      <c r="J59" s="9">
        <v>0</v>
      </c>
      <c r="K59" s="9">
        <v>7.56</v>
      </c>
      <c r="L59" s="27">
        <v>34.93</v>
      </c>
    </row>
    <row r="60" spans="1:12" x14ac:dyDescent="0.25">
      <c r="A60" s="35"/>
      <c r="B60" s="25">
        <v>45709</v>
      </c>
      <c r="C60" s="26">
        <v>60.22</v>
      </c>
      <c r="D60" s="38">
        <v>60.22</v>
      </c>
      <c r="E60" s="9">
        <v>2.41</v>
      </c>
      <c r="F60" s="9">
        <v>0</v>
      </c>
      <c r="G60" s="9">
        <v>0</v>
      </c>
      <c r="H60" s="9">
        <v>0</v>
      </c>
      <c r="I60" s="9">
        <v>60.22</v>
      </c>
      <c r="J60" s="9">
        <v>0</v>
      </c>
      <c r="K60" s="9">
        <v>0.95</v>
      </c>
      <c r="L60" s="27">
        <v>4.3899999999999997</v>
      </c>
    </row>
    <row r="61" spans="1:12" x14ac:dyDescent="0.25">
      <c r="A61" s="15" t="s">
        <v>82</v>
      </c>
      <c r="B61" s="16"/>
      <c r="C61" s="22">
        <v>1219.5800000000002</v>
      </c>
      <c r="D61" s="37">
        <v>1218.97</v>
      </c>
      <c r="E61" s="23">
        <v>48.760000000000005</v>
      </c>
      <c r="F61" s="23">
        <v>0</v>
      </c>
      <c r="G61" s="23">
        <v>0</v>
      </c>
      <c r="H61" s="23">
        <v>0.61</v>
      </c>
      <c r="I61" s="23">
        <v>1199.97</v>
      </c>
      <c r="J61" s="23">
        <v>0</v>
      </c>
      <c r="K61" s="23">
        <v>19.309999999999999</v>
      </c>
      <c r="L61" s="24">
        <v>88.95</v>
      </c>
    </row>
    <row r="62" spans="1:12" x14ac:dyDescent="0.25">
      <c r="A62" s="15" t="s">
        <v>45</v>
      </c>
      <c r="B62" s="21">
        <v>45699</v>
      </c>
      <c r="C62" s="22">
        <v>-3349.6</v>
      </c>
      <c r="D62" s="37">
        <v>-3349.6</v>
      </c>
      <c r="E62" s="23">
        <v>-133.97999999999999</v>
      </c>
      <c r="F62" s="23">
        <v>0</v>
      </c>
      <c r="G62" s="23">
        <v>0</v>
      </c>
      <c r="H62" s="23">
        <v>0</v>
      </c>
      <c r="I62" s="23">
        <v>0</v>
      </c>
      <c r="J62" s="23">
        <v>0</v>
      </c>
      <c r="K62" s="23">
        <v>-53.06</v>
      </c>
      <c r="L62" s="24">
        <v>-244.39</v>
      </c>
    </row>
    <row r="63" spans="1:12" x14ac:dyDescent="0.25">
      <c r="A63" s="35"/>
      <c r="B63" s="25">
        <v>45701</v>
      </c>
      <c r="C63" s="26">
        <v>-7741.51</v>
      </c>
      <c r="D63" s="38">
        <v>-7741.51</v>
      </c>
      <c r="E63" s="9">
        <v>-309.66000000000003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-122.62</v>
      </c>
      <c r="L63" s="27">
        <v>-564.82000000000005</v>
      </c>
    </row>
    <row r="64" spans="1:12" x14ac:dyDescent="0.25">
      <c r="A64" s="35"/>
      <c r="B64" s="25">
        <v>45706</v>
      </c>
      <c r="C64" s="26">
        <v>-953.7</v>
      </c>
      <c r="D64" s="38">
        <v>-953.7</v>
      </c>
      <c r="E64" s="9">
        <v>-38.15</v>
      </c>
      <c r="F64" s="9">
        <v>0</v>
      </c>
      <c r="G64" s="9">
        <v>0</v>
      </c>
      <c r="H64" s="9">
        <v>0</v>
      </c>
      <c r="I64" s="9">
        <v>0</v>
      </c>
      <c r="J64" s="9">
        <v>0</v>
      </c>
      <c r="K64" s="9">
        <v>-15.11</v>
      </c>
      <c r="L64" s="27">
        <v>-69.58</v>
      </c>
    </row>
    <row r="65" spans="1:12" x14ac:dyDescent="0.25">
      <c r="A65" s="35"/>
      <c r="B65" s="25">
        <v>45708</v>
      </c>
      <c r="C65" s="26">
        <v>-482.79</v>
      </c>
      <c r="D65" s="38">
        <v>-482.79</v>
      </c>
      <c r="E65" s="9">
        <v>-19.309999999999999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-7.65</v>
      </c>
      <c r="L65" s="27">
        <v>-35.22</v>
      </c>
    </row>
    <row r="66" spans="1:12" x14ac:dyDescent="0.25">
      <c r="A66" s="35"/>
      <c r="B66" s="25">
        <v>45709</v>
      </c>
      <c r="C66" s="26">
        <v>-468</v>
      </c>
      <c r="D66" s="38">
        <v>-468</v>
      </c>
      <c r="E66" s="9">
        <v>-18.72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-7.41</v>
      </c>
      <c r="L66" s="27">
        <v>-34.15</v>
      </c>
    </row>
    <row r="67" spans="1:12" x14ac:dyDescent="0.25">
      <c r="A67" s="15" t="s">
        <v>46</v>
      </c>
      <c r="B67" s="16"/>
      <c r="C67" s="22">
        <v>-12995.600000000002</v>
      </c>
      <c r="D67" s="37">
        <v>-12995.600000000002</v>
      </c>
      <c r="E67" s="23">
        <v>-519.81999999999994</v>
      </c>
      <c r="F67" s="23">
        <v>0</v>
      </c>
      <c r="G67" s="23">
        <v>0</v>
      </c>
      <c r="H67" s="23">
        <v>0</v>
      </c>
      <c r="I67" s="23">
        <v>0</v>
      </c>
      <c r="J67" s="23">
        <v>0</v>
      </c>
      <c r="K67" s="23">
        <v>-205.85000000000002</v>
      </c>
      <c r="L67" s="24">
        <v>-948.16000000000008</v>
      </c>
    </row>
    <row r="68" spans="1:12" x14ac:dyDescent="0.25">
      <c r="A68" s="15" t="s">
        <v>54</v>
      </c>
      <c r="B68" s="21">
        <v>45695</v>
      </c>
      <c r="C68" s="22">
        <v>5396</v>
      </c>
      <c r="D68" s="37">
        <v>5396</v>
      </c>
      <c r="E68" s="23">
        <v>215.84</v>
      </c>
      <c r="F68" s="23">
        <v>0</v>
      </c>
      <c r="G68" s="23">
        <v>0</v>
      </c>
      <c r="H68" s="23">
        <v>0</v>
      </c>
      <c r="I68" s="23">
        <v>5396</v>
      </c>
      <c r="J68" s="23">
        <v>0</v>
      </c>
      <c r="K68" s="23">
        <v>85.47</v>
      </c>
      <c r="L68" s="24">
        <v>393.69</v>
      </c>
    </row>
    <row r="69" spans="1:12" x14ac:dyDescent="0.25">
      <c r="A69" s="35"/>
      <c r="B69" s="25">
        <v>45702</v>
      </c>
      <c r="C69" s="26">
        <v>3750</v>
      </c>
      <c r="D69" s="38">
        <v>3750</v>
      </c>
      <c r="E69" s="9">
        <v>150</v>
      </c>
      <c r="F69" s="9">
        <v>0</v>
      </c>
      <c r="G69" s="9">
        <v>0</v>
      </c>
      <c r="H69" s="9">
        <v>0</v>
      </c>
      <c r="I69" s="9">
        <v>3750</v>
      </c>
      <c r="J69" s="9">
        <v>0</v>
      </c>
      <c r="K69" s="9">
        <v>59.4</v>
      </c>
      <c r="L69" s="27">
        <v>273.60000000000002</v>
      </c>
    </row>
    <row r="70" spans="1:12" x14ac:dyDescent="0.25">
      <c r="A70" s="35"/>
      <c r="B70" s="25">
        <v>45706</v>
      </c>
      <c r="C70" s="26">
        <v>4765.2</v>
      </c>
      <c r="D70" s="38">
        <v>4765.2</v>
      </c>
      <c r="E70" s="9">
        <v>190.61</v>
      </c>
      <c r="F70" s="9">
        <v>0</v>
      </c>
      <c r="G70" s="9">
        <v>0</v>
      </c>
      <c r="H70" s="9">
        <v>0</v>
      </c>
      <c r="I70" s="9">
        <v>4765.2</v>
      </c>
      <c r="J70" s="9">
        <v>0</v>
      </c>
      <c r="K70" s="9">
        <v>75.489999999999995</v>
      </c>
      <c r="L70" s="27">
        <v>347.67</v>
      </c>
    </row>
    <row r="71" spans="1:12" x14ac:dyDescent="0.25">
      <c r="A71" s="15" t="s">
        <v>59</v>
      </c>
      <c r="B71" s="16"/>
      <c r="C71" s="22">
        <v>13911.2</v>
      </c>
      <c r="D71" s="37">
        <v>13911.2</v>
      </c>
      <c r="E71" s="23">
        <v>556.45000000000005</v>
      </c>
      <c r="F71" s="23">
        <v>0</v>
      </c>
      <c r="G71" s="23">
        <v>0</v>
      </c>
      <c r="H71" s="23">
        <v>0</v>
      </c>
      <c r="I71" s="23">
        <v>13911.2</v>
      </c>
      <c r="J71" s="23">
        <v>0</v>
      </c>
      <c r="K71" s="23">
        <v>220.36</v>
      </c>
      <c r="L71" s="24">
        <v>1014.96</v>
      </c>
    </row>
    <row r="72" spans="1:12" x14ac:dyDescent="0.25">
      <c r="A72" s="15" t="s">
        <v>65</v>
      </c>
      <c r="B72" s="21">
        <v>45691</v>
      </c>
      <c r="C72" s="22">
        <v>80036.460000000006</v>
      </c>
      <c r="D72" s="37">
        <v>80036.460000000006</v>
      </c>
      <c r="E72" s="23">
        <v>3201.47</v>
      </c>
      <c r="F72" s="23">
        <v>0</v>
      </c>
      <c r="G72" s="23">
        <v>0</v>
      </c>
      <c r="H72" s="23">
        <v>0</v>
      </c>
      <c r="I72" s="23">
        <v>79965.27</v>
      </c>
      <c r="J72" s="23">
        <v>0</v>
      </c>
      <c r="K72" s="23">
        <v>1272.0399999999997</v>
      </c>
      <c r="L72" s="24">
        <v>5859.21</v>
      </c>
    </row>
    <row r="73" spans="1:12" x14ac:dyDescent="0.25">
      <c r="A73" s="35"/>
      <c r="B73" s="25">
        <v>45692</v>
      </c>
      <c r="C73" s="26">
        <v>73166.309999999983</v>
      </c>
      <c r="D73" s="38">
        <v>73166.309999999983</v>
      </c>
      <c r="E73" s="9">
        <v>2926.6499999999996</v>
      </c>
      <c r="F73" s="9">
        <v>0</v>
      </c>
      <c r="G73" s="9">
        <v>0</v>
      </c>
      <c r="H73" s="9">
        <v>0</v>
      </c>
      <c r="I73" s="9">
        <v>73108.149999999994</v>
      </c>
      <c r="J73" s="9">
        <v>0</v>
      </c>
      <c r="K73" s="9">
        <v>1158.98</v>
      </c>
      <c r="L73" s="27">
        <v>5338.2100000000009</v>
      </c>
    </row>
    <row r="74" spans="1:12" x14ac:dyDescent="0.25">
      <c r="A74" s="35"/>
      <c r="B74" s="25">
        <v>45693</v>
      </c>
      <c r="C74" s="26">
        <v>27828.49</v>
      </c>
      <c r="D74" s="38">
        <v>27828.49</v>
      </c>
      <c r="E74" s="9">
        <v>1113.1299999999999</v>
      </c>
      <c r="F74" s="9">
        <v>0</v>
      </c>
      <c r="G74" s="9">
        <v>0</v>
      </c>
      <c r="H74" s="9">
        <v>0</v>
      </c>
      <c r="I74" s="9">
        <v>27716.57</v>
      </c>
      <c r="J74" s="9">
        <v>0</v>
      </c>
      <c r="K74" s="9">
        <v>440.80999999999995</v>
      </c>
      <c r="L74" s="27">
        <v>2030.3999999999999</v>
      </c>
    </row>
    <row r="75" spans="1:12" x14ac:dyDescent="0.25">
      <c r="A75" s="35"/>
      <c r="B75" s="25">
        <v>45694</v>
      </c>
      <c r="C75" s="26">
        <v>111729.12</v>
      </c>
      <c r="D75" s="38">
        <v>111729.12</v>
      </c>
      <c r="E75" s="9">
        <v>4469.1499999999996</v>
      </c>
      <c r="F75" s="9">
        <v>0</v>
      </c>
      <c r="G75" s="9">
        <v>0</v>
      </c>
      <c r="H75" s="9">
        <v>0</v>
      </c>
      <c r="I75" s="9">
        <v>111729.12</v>
      </c>
      <c r="J75" s="9">
        <v>0</v>
      </c>
      <c r="K75" s="9">
        <v>1769.79</v>
      </c>
      <c r="L75" s="27">
        <v>8151.75</v>
      </c>
    </row>
    <row r="76" spans="1:12" x14ac:dyDescent="0.25">
      <c r="A76" s="35"/>
      <c r="B76" s="25">
        <v>45695</v>
      </c>
      <c r="C76" s="26">
        <v>46817.95</v>
      </c>
      <c r="D76" s="38">
        <v>46817.95</v>
      </c>
      <c r="E76" s="9">
        <v>1872.71</v>
      </c>
      <c r="F76" s="9">
        <v>0</v>
      </c>
      <c r="G76" s="9">
        <v>0</v>
      </c>
      <c r="H76" s="9">
        <v>0</v>
      </c>
      <c r="I76" s="9">
        <v>46717.95</v>
      </c>
      <c r="J76" s="9">
        <v>0</v>
      </c>
      <c r="K76" s="9">
        <v>741.58</v>
      </c>
      <c r="L76" s="27">
        <v>3415.84</v>
      </c>
    </row>
    <row r="77" spans="1:12" x14ac:dyDescent="0.25">
      <c r="A77" s="35"/>
      <c r="B77" s="25">
        <v>45696</v>
      </c>
      <c r="C77" s="26">
        <v>399407.81999999995</v>
      </c>
      <c r="D77" s="38">
        <v>399407.81999999995</v>
      </c>
      <c r="E77" s="9">
        <v>15976.31</v>
      </c>
      <c r="F77" s="9">
        <v>0</v>
      </c>
      <c r="G77" s="9">
        <v>0</v>
      </c>
      <c r="H77" s="9">
        <v>0</v>
      </c>
      <c r="I77" s="9">
        <v>399407.81999999995</v>
      </c>
      <c r="J77" s="9">
        <v>0</v>
      </c>
      <c r="K77" s="9">
        <v>6326.61</v>
      </c>
      <c r="L77" s="27">
        <v>29140.780000000002</v>
      </c>
    </row>
    <row r="78" spans="1:12" x14ac:dyDescent="0.25">
      <c r="A78" s="35"/>
      <c r="B78" s="25">
        <v>45698</v>
      </c>
      <c r="C78" s="26">
        <v>215189.36000000002</v>
      </c>
      <c r="D78" s="38">
        <v>214152.38999999998</v>
      </c>
      <c r="E78" s="9">
        <v>8566.1</v>
      </c>
      <c r="F78" s="9">
        <v>0</v>
      </c>
      <c r="G78" s="9">
        <v>0</v>
      </c>
      <c r="H78" s="9">
        <v>1036.97</v>
      </c>
      <c r="I78" s="9">
        <v>182123.02</v>
      </c>
      <c r="J78" s="9">
        <v>0</v>
      </c>
      <c r="K78" s="9">
        <v>3392.15</v>
      </c>
      <c r="L78" s="27">
        <v>15624.539999999997</v>
      </c>
    </row>
    <row r="79" spans="1:12" x14ac:dyDescent="0.25">
      <c r="A79" s="35"/>
      <c r="B79" s="25">
        <v>45699</v>
      </c>
      <c r="C79" s="26">
        <v>23205.83</v>
      </c>
      <c r="D79" s="38">
        <v>23205.83</v>
      </c>
      <c r="E79" s="9">
        <v>928.23</v>
      </c>
      <c r="F79" s="9">
        <v>0</v>
      </c>
      <c r="G79" s="9">
        <v>0</v>
      </c>
      <c r="H79" s="9">
        <v>0</v>
      </c>
      <c r="I79" s="9">
        <v>23205.83</v>
      </c>
      <c r="J79" s="9">
        <v>0</v>
      </c>
      <c r="K79" s="9">
        <v>367.57</v>
      </c>
      <c r="L79" s="27">
        <v>1693.1</v>
      </c>
    </row>
    <row r="80" spans="1:12" x14ac:dyDescent="0.25">
      <c r="A80" s="35"/>
      <c r="B80" s="25">
        <v>45700</v>
      </c>
      <c r="C80" s="26">
        <v>96666.170000000013</v>
      </c>
      <c r="D80" s="38">
        <v>96666.170000000013</v>
      </c>
      <c r="E80" s="9">
        <v>3866.67</v>
      </c>
      <c r="F80" s="9">
        <v>0</v>
      </c>
      <c r="G80" s="9">
        <v>0</v>
      </c>
      <c r="H80" s="9">
        <v>0</v>
      </c>
      <c r="I80" s="9">
        <v>96666.170000000013</v>
      </c>
      <c r="J80" s="9">
        <v>0</v>
      </c>
      <c r="K80" s="9">
        <v>1531.2199999999998</v>
      </c>
      <c r="L80" s="27">
        <v>7052.7800000000007</v>
      </c>
    </row>
    <row r="81" spans="1:12" x14ac:dyDescent="0.25">
      <c r="A81" s="35"/>
      <c r="B81" s="25">
        <v>45701</v>
      </c>
      <c r="C81" s="26">
        <v>50327.219999999994</v>
      </c>
      <c r="D81" s="38">
        <v>50239.249999999993</v>
      </c>
      <c r="E81" s="9">
        <v>2009.56</v>
      </c>
      <c r="F81" s="9">
        <v>0</v>
      </c>
      <c r="G81" s="9">
        <v>0</v>
      </c>
      <c r="H81" s="9">
        <v>87.97</v>
      </c>
      <c r="I81" s="9">
        <v>47407.969999999994</v>
      </c>
      <c r="J81" s="9">
        <v>0</v>
      </c>
      <c r="K81" s="9">
        <v>795.79</v>
      </c>
      <c r="L81" s="27">
        <v>3665.47</v>
      </c>
    </row>
    <row r="82" spans="1:12" x14ac:dyDescent="0.25">
      <c r="A82" s="35"/>
      <c r="B82" s="25">
        <v>45702</v>
      </c>
      <c r="C82" s="26">
        <v>106133.58999999998</v>
      </c>
      <c r="D82" s="38">
        <v>106133.58999999998</v>
      </c>
      <c r="E82" s="9">
        <v>4245.3600000000006</v>
      </c>
      <c r="F82" s="9">
        <v>0</v>
      </c>
      <c r="G82" s="9">
        <v>0</v>
      </c>
      <c r="H82" s="9">
        <v>0</v>
      </c>
      <c r="I82" s="9">
        <v>106029.68999999999</v>
      </c>
      <c r="J82" s="9">
        <v>0</v>
      </c>
      <c r="K82" s="9">
        <v>1681.19</v>
      </c>
      <c r="L82" s="27">
        <v>7743.5</v>
      </c>
    </row>
    <row r="83" spans="1:12" x14ac:dyDescent="0.25">
      <c r="A83" s="35"/>
      <c r="B83" s="25">
        <v>45705</v>
      </c>
      <c r="C83" s="26">
        <v>95903.02</v>
      </c>
      <c r="D83" s="38">
        <v>95903.02</v>
      </c>
      <c r="E83" s="9">
        <v>3836.1100000000006</v>
      </c>
      <c r="F83" s="9">
        <v>0</v>
      </c>
      <c r="G83" s="9">
        <v>0</v>
      </c>
      <c r="H83" s="9">
        <v>0</v>
      </c>
      <c r="I83" s="9">
        <v>95869.23</v>
      </c>
      <c r="J83" s="9">
        <v>0</v>
      </c>
      <c r="K83" s="9">
        <v>1519.09</v>
      </c>
      <c r="L83" s="27">
        <v>6997.1</v>
      </c>
    </row>
    <row r="84" spans="1:12" x14ac:dyDescent="0.25">
      <c r="A84" s="35"/>
      <c r="B84" s="25">
        <v>45706</v>
      </c>
      <c r="C84" s="26">
        <v>74927.699999999983</v>
      </c>
      <c r="D84" s="38">
        <v>74917.739999999991</v>
      </c>
      <c r="E84" s="9">
        <v>2996.69</v>
      </c>
      <c r="F84" s="9">
        <v>0</v>
      </c>
      <c r="G84" s="9">
        <v>0</v>
      </c>
      <c r="H84" s="9">
        <v>9.9600000000000009</v>
      </c>
      <c r="I84" s="9">
        <v>74489.409999999989</v>
      </c>
      <c r="J84" s="9">
        <v>0</v>
      </c>
      <c r="K84" s="9">
        <v>1186.6899999999998</v>
      </c>
      <c r="L84" s="27">
        <v>5466.04</v>
      </c>
    </row>
    <row r="85" spans="1:12" x14ac:dyDescent="0.25">
      <c r="A85" s="35"/>
      <c r="B85" s="25">
        <v>45707</v>
      </c>
      <c r="C85" s="26">
        <v>163008.87</v>
      </c>
      <c r="D85" s="38">
        <v>163008.87</v>
      </c>
      <c r="E85" s="9">
        <v>6520.35</v>
      </c>
      <c r="F85" s="9">
        <v>0</v>
      </c>
      <c r="G85" s="9">
        <v>0</v>
      </c>
      <c r="H85" s="9">
        <v>0</v>
      </c>
      <c r="I85" s="9">
        <v>163008.87</v>
      </c>
      <c r="J85" s="9">
        <v>0</v>
      </c>
      <c r="K85" s="9">
        <v>2582.0500000000002</v>
      </c>
      <c r="L85" s="27">
        <v>11893.1</v>
      </c>
    </row>
    <row r="86" spans="1:12" x14ac:dyDescent="0.25">
      <c r="A86" s="35"/>
      <c r="B86" s="25">
        <v>45708</v>
      </c>
      <c r="C86" s="26">
        <v>42402.789999999994</v>
      </c>
      <c r="D86" s="38">
        <v>42402.789999999994</v>
      </c>
      <c r="E86" s="9">
        <v>1696.1</v>
      </c>
      <c r="F86" s="9">
        <v>0</v>
      </c>
      <c r="G86" s="9">
        <v>0</v>
      </c>
      <c r="H86" s="9">
        <v>0</v>
      </c>
      <c r="I86" s="9">
        <v>42307.28</v>
      </c>
      <c r="J86" s="9">
        <v>0</v>
      </c>
      <c r="K86" s="9">
        <v>671.66</v>
      </c>
      <c r="L86" s="27">
        <v>3093.6900000000005</v>
      </c>
    </row>
    <row r="87" spans="1:12" x14ac:dyDescent="0.25">
      <c r="A87" s="35"/>
      <c r="B87" s="25">
        <v>45709</v>
      </c>
      <c r="C87" s="26">
        <v>36079.770000000004</v>
      </c>
      <c r="D87" s="38">
        <v>35883.240000000005</v>
      </c>
      <c r="E87" s="9">
        <v>1435.3400000000001</v>
      </c>
      <c r="F87" s="9">
        <v>0</v>
      </c>
      <c r="G87" s="9">
        <v>0</v>
      </c>
      <c r="H87" s="9">
        <v>196.53</v>
      </c>
      <c r="I87" s="9">
        <v>29781.77</v>
      </c>
      <c r="J87" s="9">
        <v>0</v>
      </c>
      <c r="K87" s="9">
        <v>568.38</v>
      </c>
      <c r="L87" s="27">
        <v>2618.0500000000002</v>
      </c>
    </row>
    <row r="88" spans="1:12" x14ac:dyDescent="0.25">
      <c r="A88" s="35"/>
      <c r="B88" s="25">
        <v>45712</v>
      </c>
      <c r="C88" s="26">
        <v>72711.86</v>
      </c>
      <c r="D88" s="38">
        <v>72711.86</v>
      </c>
      <c r="E88" s="9">
        <v>2908.49</v>
      </c>
      <c r="F88" s="9">
        <v>0</v>
      </c>
      <c r="G88" s="9">
        <v>0</v>
      </c>
      <c r="H88" s="9">
        <v>0</v>
      </c>
      <c r="I88" s="9">
        <v>72601.86</v>
      </c>
      <c r="J88" s="9">
        <v>0</v>
      </c>
      <c r="K88" s="9">
        <v>1151.76</v>
      </c>
      <c r="L88" s="27">
        <v>5305.08</v>
      </c>
    </row>
    <row r="89" spans="1:12" x14ac:dyDescent="0.25">
      <c r="A89" s="15" t="s">
        <v>83</v>
      </c>
      <c r="B89" s="16"/>
      <c r="C89" s="22">
        <v>1715542.3299999998</v>
      </c>
      <c r="D89" s="37">
        <v>1714210.9</v>
      </c>
      <c r="E89" s="23">
        <v>68568.42</v>
      </c>
      <c r="F89" s="23">
        <v>0</v>
      </c>
      <c r="G89" s="23">
        <v>0</v>
      </c>
      <c r="H89" s="23">
        <v>1331.43</v>
      </c>
      <c r="I89" s="23">
        <v>1672135.98</v>
      </c>
      <c r="J89" s="23">
        <v>0</v>
      </c>
      <c r="K89" s="23">
        <v>27157.359999999993</v>
      </c>
      <c r="L89" s="24">
        <v>125088.64000000001</v>
      </c>
    </row>
    <row r="90" spans="1:12" x14ac:dyDescent="0.25">
      <c r="A90" s="15" t="s">
        <v>69</v>
      </c>
      <c r="B90" s="21">
        <v>45691</v>
      </c>
      <c r="C90" s="22">
        <v>55</v>
      </c>
      <c r="D90" s="37">
        <v>55</v>
      </c>
      <c r="E90" s="23">
        <v>2.2000000000000002</v>
      </c>
      <c r="F90" s="23">
        <v>0</v>
      </c>
      <c r="G90" s="23">
        <v>0</v>
      </c>
      <c r="H90" s="23">
        <v>0</v>
      </c>
      <c r="I90" s="23">
        <v>0</v>
      </c>
      <c r="J90" s="23">
        <v>0</v>
      </c>
      <c r="K90" s="23">
        <v>0.88</v>
      </c>
      <c r="L90" s="24">
        <v>4.01</v>
      </c>
    </row>
    <row r="91" spans="1:12" x14ac:dyDescent="0.25">
      <c r="A91" s="35"/>
      <c r="B91" s="25">
        <v>45692</v>
      </c>
      <c r="C91" s="26">
        <v>38.4</v>
      </c>
      <c r="D91" s="38">
        <v>38.4</v>
      </c>
      <c r="E91" s="9">
        <v>1.54</v>
      </c>
      <c r="F91" s="9">
        <v>0</v>
      </c>
      <c r="G91" s="9">
        <v>0</v>
      </c>
      <c r="H91" s="9">
        <v>0</v>
      </c>
      <c r="I91" s="9">
        <v>0</v>
      </c>
      <c r="J91" s="9">
        <v>0</v>
      </c>
      <c r="K91" s="9">
        <v>0.61</v>
      </c>
      <c r="L91" s="27">
        <v>2.79</v>
      </c>
    </row>
    <row r="92" spans="1:12" x14ac:dyDescent="0.25">
      <c r="A92" s="35"/>
      <c r="B92" s="25">
        <v>45693</v>
      </c>
      <c r="C92" s="26">
        <v>10</v>
      </c>
      <c r="D92" s="38">
        <v>10</v>
      </c>
      <c r="E92" s="9">
        <v>0.4</v>
      </c>
      <c r="F92" s="9">
        <v>0</v>
      </c>
      <c r="G92" s="9">
        <v>0</v>
      </c>
      <c r="H92" s="9">
        <v>0</v>
      </c>
      <c r="I92" s="9">
        <v>0</v>
      </c>
      <c r="J92" s="9">
        <v>0</v>
      </c>
      <c r="K92" s="9">
        <v>0.16</v>
      </c>
      <c r="L92" s="27">
        <v>0.73</v>
      </c>
    </row>
    <row r="93" spans="1:12" x14ac:dyDescent="0.25">
      <c r="A93" s="35"/>
      <c r="B93" s="25">
        <v>45694</v>
      </c>
      <c r="C93" s="26">
        <v>45</v>
      </c>
      <c r="D93" s="38">
        <v>45</v>
      </c>
      <c r="E93" s="9">
        <v>1.8</v>
      </c>
      <c r="F93" s="9">
        <v>0</v>
      </c>
      <c r="G93" s="9">
        <v>0</v>
      </c>
      <c r="H93" s="9">
        <v>0</v>
      </c>
      <c r="I93" s="9">
        <v>0</v>
      </c>
      <c r="J93" s="9">
        <v>0</v>
      </c>
      <c r="K93" s="9">
        <v>0.72</v>
      </c>
      <c r="L93" s="27">
        <v>3.27</v>
      </c>
    </row>
    <row r="94" spans="1:12" x14ac:dyDescent="0.25">
      <c r="A94" s="35"/>
      <c r="B94" s="25">
        <v>45695</v>
      </c>
      <c r="C94" s="26">
        <v>30</v>
      </c>
      <c r="D94" s="38">
        <v>30</v>
      </c>
      <c r="E94" s="9">
        <v>1.2</v>
      </c>
      <c r="F94" s="9">
        <v>0</v>
      </c>
      <c r="G94" s="9">
        <v>0</v>
      </c>
      <c r="H94" s="9">
        <v>0</v>
      </c>
      <c r="I94" s="9">
        <v>0</v>
      </c>
      <c r="J94" s="9">
        <v>0</v>
      </c>
      <c r="K94" s="9">
        <v>0.48</v>
      </c>
      <c r="L94" s="27">
        <v>2.19</v>
      </c>
    </row>
    <row r="95" spans="1:12" x14ac:dyDescent="0.25">
      <c r="A95" s="35"/>
      <c r="B95" s="25">
        <v>45698</v>
      </c>
      <c r="C95" s="26">
        <v>25.32</v>
      </c>
      <c r="D95" s="38">
        <v>25</v>
      </c>
      <c r="E95" s="9">
        <v>1</v>
      </c>
      <c r="F95" s="9">
        <v>0</v>
      </c>
      <c r="G95" s="9">
        <v>0</v>
      </c>
      <c r="H95" s="9">
        <v>0.32</v>
      </c>
      <c r="I95" s="9">
        <v>0</v>
      </c>
      <c r="J95" s="9">
        <v>0</v>
      </c>
      <c r="K95" s="9">
        <v>0.4</v>
      </c>
      <c r="L95" s="27">
        <v>1.82</v>
      </c>
    </row>
    <row r="96" spans="1:12" x14ac:dyDescent="0.25">
      <c r="A96" s="35"/>
      <c r="B96" s="25">
        <v>45700</v>
      </c>
      <c r="C96" s="26">
        <v>20</v>
      </c>
      <c r="D96" s="38">
        <v>20</v>
      </c>
      <c r="E96" s="9">
        <v>0.8</v>
      </c>
      <c r="F96" s="9">
        <v>0</v>
      </c>
      <c r="G96" s="9">
        <v>0</v>
      </c>
      <c r="H96" s="9">
        <v>0</v>
      </c>
      <c r="I96" s="9">
        <v>0</v>
      </c>
      <c r="J96" s="9">
        <v>0</v>
      </c>
      <c r="K96" s="9">
        <v>0.32</v>
      </c>
      <c r="L96" s="27">
        <v>1.46</v>
      </c>
    </row>
    <row r="97" spans="1:12" x14ac:dyDescent="0.25">
      <c r="A97" s="35"/>
      <c r="B97" s="25">
        <v>45701</v>
      </c>
      <c r="C97" s="26">
        <v>37.5</v>
      </c>
      <c r="D97" s="38">
        <v>37.5</v>
      </c>
      <c r="E97" s="9">
        <v>1.5</v>
      </c>
      <c r="F97" s="9">
        <v>0</v>
      </c>
      <c r="G97" s="9">
        <v>0</v>
      </c>
      <c r="H97" s="9">
        <v>0</v>
      </c>
      <c r="I97" s="9">
        <v>0</v>
      </c>
      <c r="J97" s="9">
        <v>0</v>
      </c>
      <c r="K97" s="9">
        <v>0.6</v>
      </c>
      <c r="L97" s="27">
        <v>2.7300000000000004</v>
      </c>
    </row>
    <row r="98" spans="1:12" x14ac:dyDescent="0.25">
      <c r="A98" s="35"/>
      <c r="B98" s="25">
        <v>45702</v>
      </c>
      <c r="C98" s="26">
        <v>82.05</v>
      </c>
      <c r="D98" s="38">
        <v>82.05</v>
      </c>
      <c r="E98" s="9">
        <v>3.2800000000000002</v>
      </c>
      <c r="F98" s="9">
        <v>0</v>
      </c>
      <c r="G98" s="9">
        <v>0</v>
      </c>
      <c r="H98" s="9">
        <v>0</v>
      </c>
      <c r="I98" s="9">
        <v>0</v>
      </c>
      <c r="J98" s="9">
        <v>0</v>
      </c>
      <c r="K98" s="9">
        <v>1.31</v>
      </c>
      <c r="L98" s="27">
        <v>5.9700000000000006</v>
      </c>
    </row>
    <row r="99" spans="1:12" x14ac:dyDescent="0.25">
      <c r="A99" s="35"/>
      <c r="B99" s="25">
        <v>45706</v>
      </c>
      <c r="C99" s="26">
        <v>42.5</v>
      </c>
      <c r="D99" s="38">
        <v>42.5</v>
      </c>
      <c r="E99" s="9">
        <v>1.7</v>
      </c>
      <c r="F99" s="9">
        <v>0</v>
      </c>
      <c r="G99" s="9">
        <v>0</v>
      </c>
      <c r="H99" s="9">
        <v>0</v>
      </c>
      <c r="I99" s="9">
        <v>0</v>
      </c>
      <c r="J99" s="9">
        <v>0</v>
      </c>
      <c r="K99" s="9">
        <v>0.67999999999999994</v>
      </c>
      <c r="L99" s="27">
        <v>3.1</v>
      </c>
    </row>
    <row r="100" spans="1:12" x14ac:dyDescent="0.25">
      <c r="A100" s="15" t="s">
        <v>84</v>
      </c>
      <c r="B100" s="16"/>
      <c r="C100" s="22">
        <v>385.77000000000004</v>
      </c>
      <c r="D100" s="37">
        <v>385.45</v>
      </c>
      <c r="E100" s="23">
        <v>15.420000000000002</v>
      </c>
      <c r="F100" s="23">
        <v>0</v>
      </c>
      <c r="G100" s="23">
        <v>0</v>
      </c>
      <c r="H100" s="23">
        <v>0.32</v>
      </c>
      <c r="I100" s="23">
        <v>0</v>
      </c>
      <c r="J100" s="23">
        <v>0</v>
      </c>
      <c r="K100" s="23">
        <v>6.16</v>
      </c>
      <c r="L100" s="24">
        <v>28.07</v>
      </c>
    </row>
    <row r="101" spans="1:12" x14ac:dyDescent="0.25">
      <c r="A101" s="15" t="s">
        <v>180</v>
      </c>
      <c r="B101" s="21">
        <v>45691</v>
      </c>
      <c r="C101" s="22">
        <v>9240.8000000000011</v>
      </c>
      <c r="D101" s="37">
        <v>9240.8000000000011</v>
      </c>
      <c r="E101" s="23">
        <v>369.63</v>
      </c>
      <c r="F101" s="23">
        <v>0</v>
      </c>
      <c r="G101" s="23">
        <v>0</v>
      </c>
      <c r="H101" s="23">
        <v>0</v>
      </c>
      <c r="I101" s="23">
        <v>9240.8000000000011</v>
      </c>
      <c r="J101" s="23">
        <v>0</v>
      </c>
      <c r="K101" s="23">
        <v>146.38</v>
      </c>
      <c r="L101" s="24">
        <v>674.21</v>
      </c>
    </row>
    <row r="102" spans="1:12" x14ac:dyDescent="0.25">
      <c r="A102" s="35"/>
      <c r="B102" s="25">
        <v>45692</v>
      </c>
      <c r="C102" s="26">
        <v>45571.499999999993</v>
      </c>
      <c r="D102" s="38">
        <v>45571.499999999993</v>
      </c>
      <c r="E102" s="9">
        <v>2473.36</v>
      </c>
      <c r="F102" s="9">
        <v>0</v>
      </c>
      <c r="G102" s="9">
        <v>0</v>
      </c>
      <c r="H102" s="9">
        <v>0</v>
      </c>
      <c r="I102" s="9">
        <v>45571.499999999993</v>
      </c>
      <c r="J102" s="9">
        <v>0</v>
      </c>
      <c r="K102" s="9">
        <v>711.1</v>
      </c>
      <c r="L102" s="27">
        <v>3275.4300000000003</v>
      </c>
    </row>
    <row r="103" spans="1:12" x14ac:dyDescent="0.25">
      <c r="A103" s="35"/>
      <c r="B103" s="25">
        <v>45693</v>
      </c>
      <c r="C103" s="26">
        <v>35410.94</v>
      </c>
      <c r="D103" s="38">
        <v>35410.94</v>
      </c>
      <c r="E103" s="9">
        <v>1497.5700000000002</v>
      </c>
      <c r="F103" s="9">
        <v>0</v>
      </c>
      <c r="G103" s="9">
        <v>0</v>
      </c>
      <c r="H103" s="9">
        <v>0</v>
      </c>
      <c r="I103" s="9">
        <v>35410.94</v>
      </c>
      <c r="J103" s="9">
        <v>0</v>
      </c>
      <c r="K103" s="9">
        <v>559.58000000000004</v>
      </c>
      <c r="L103" s="27">
        <v>2577.42</v>
      </c>
    </row>
    <row r="104" spans="1:12" x14ac:dyDescent="0.25">
      <c r="A104" s="35"/>
      <c r="B104" s="25">
        <v>45694</v>
      </c>
      <c r="C104" s="26">
        <v>27001.65</v>
      </c>
      <c r="D104" s="38">
        <v>26511.35</v>
      </c>
      <c r="E104" s="9">
        <v>1067.3600000000001</v>
      </c>
      <c r="F104" s="9">
        <v>0</v>
      </c>
      <c r="G104" s="9">
        <v>0</v>
      </c>
      <c r="H104" s="9">
        <v>490.3</v>
      </c>
      <c r="I104" s="9">
        <v>11424.92</v>
      </c>
      <c r="J104" s="9">
        <v>0</v>
      </c>
      <c r="K104" s="9">
        <v>419.83</v>
      </c>
      <c r="L104" s="27">
        <v>1933.74</v>
      </c>
    </row>
    <row r="105" spans="1:12" x14ac:dyDescent="0.25">
      <c r="A105" s="35"/>
      <c r="B105" s="25">
        <v>45698</v>
      </c>
      <c r="C105" s="26">
        <v>44057.81</v>
      </c>
      <c r="D105" s="38">
        <v>43531.090000000004</v>
      </c>
      <c r="E105" s="9">
        <v>2248.42</v>
      </c>
      <c r="F105" s="9">
        <v>0</v>
      </c>
      <c r="G105" s="9">
        <v>0</v>
      </c>
      <c r="H105" s="9">
        <v>526.71999999999991</v>
      </c>
      <c r="I105" s="9">
        <v>27324.09</v>
      </c>
      <c r="J105" s="9">
        <v>0</v>
      </c>
      <c r="K105" s="9">
        <v>681.17000000000007</v>
      </c>
      <c r="L105" s="27">
        <v>3137.49</v>
      </c>
    </row>
    <row r="106" spans="1:12" x14ac:dyDescent="0.25">
      <c r="A106" s="35"/>
      <c r="B106" s="25">
        <v>45699</v>
      </c>
      <c r="C106" s="26">
        <v>25243.84</v>
      </c>
      <c r="D106" s="38">
        <v>25200.74</v>
      </c>
      <c r="E106" s="9">
        <v>1114.1199999999999</v>
      </c>
      <c r="F106" s="9">
        <v>0</v>
      </c>
      <c r="G106" s="9">
        <v>0</v>
      </c>
      <c r="H106" s="9">
        <v>43.1</v>
      </c>
      <c r="I106" s="9">
        <v>23874.54</v>
      </c>
      <c r="J106" s="9">
        <v>0</v>
      </c>
      <c r="K106" s="9">
        <v>397.44</v>
      </c>
      <c r="L106" s="27">
        <v>1830.5800000000002</v>
      </c>
    </row>
    <row r="107" spans="1:12" x14ac:dyDescent="0.25">
      <c r="A107" s="35"/>
      <c r="B107" s="25">
        <v>45700</v>
      </c>
      <c r="C107" s="26">
        <v>17678.260000000002</v>
      </c>
      <c r="D107" s="38">
        <v>17678.260000000002</v>
      </c>
      <c r="E107" s="9">
        <v>845.61</v>
      </c>
      <c r="F107" s="9">
        <v>0</v>
      </c>
      <c r="G107" s="9">
        <v>0</v>
      </c>
      <c r="H107" s="9">
        <v>0</v>
      </c>
      <c r="I107" s="9">
        <v>17678.260000000002</v>
      </c>
      <c r="J107" s="9">
        <v>0</v>
      </c>
      <c r="K107" s="9">
        <v>277.7</v>
      </c>
      <c r="L107" s="27">
        <v>1279.2800000000002</v>
      </c>
    </row>
    <row r="108" spans="1:12" x14ac:dyDescent="0.25">
      <c r="A108" s="35"/>
      <c r="B108" s="25">
        <v>45701</v>
      </c>
      <c r="C108" s="26">
        <v>49372.850000000006</v>
      </c>
      <c r="D108" s="38">
        <v>49259.920000000006</v>
      </c>
      <c r="E108" s="9">
        <v>2259.1800000000003</v>
      </c>
      <c r="F108" s="9">
        <v>0</v>
      </c>
      <c r="G108" s="9">
        <v>0</v>
      </c>
      <c r="H108" s="9">
        <v>112.93</v>
      </c>
      <c r="I108" s="9">
        <v>45784.920000000006</v>
      </c>
      <c r="J108" s="9">
        <v>0</v>
      </c>
      <c r="K108" s="9">
        <v>775.5100000000001</v>
      </c>
      <c r="L108" s="27">
        <v>3572.06</v>
      </c>
    </row>
    <row r="109" spans="1:12" x14ac:dyDescent="0.25">
      <c r="A109" s="35"/>
      <c r="B109" s="25">
        <v>45702</v>
      </c>
      <c r="C109" s="26">
        <v>32072.499999999996</v>
      </c>
      <c r="D109" s="38">
        <v>31753.769999999997</v>
      </c>
      <c r="E109" s="9">
        <v>1822.9800000000002</v>
      </c>
      <c r="F109" s="9">
        <v>0</v>
      </c>
      <c r="G109" s="9">
        <v>0</v>
      </c>
      <c r="H109" s="9">
        <v>318.73</v>
      </c>
      <c r="I109" s="9">
        <v>21946.21</v>
      </c>
      <c r="J109" s="9">
        <v>0</v>
      </c>
      <c r="K109" s="9">
        <v>493.83999999999992</v>
      </c>
      <c r="L109" s="27">
        <v>2274.7200000000003</v>
      </c>
    </row>
    <row r="110" spans="1:12" x14ac:dyDescent="0.25">
      <c r="A110" s="35"/>
      <c r="B110" s="25">
        <v>45705</v>
      </c>
      <c r="C110" s="26">
        <v>36111.32</v>
      </c>
      <c r="D110" s="38">
        <v>36022.519999999997</v>
      </c>
      <c r="E110" s="9">
        <v>1613.02</v>
      </c>
      <c r="F110" s="9">
        <v>0</v>
      </c>
      <c r="G110" s="9">
        <v>0</v>
      </c>
      <c r="H110" s="9">
        <v>88.8</v>
      </c>
      <c r="I110" s="9">
        <v>33289.97</v>
      </c>
      <c r="J110" s="9">
        <v>0</v>
      </c>
      <c r="K110" s="9">
        <v>567.76</v>
      </c>
      <c r="L110" s="27">
        <v>2615.1000000000004</v>
      </c>
    </row>
    <row r="111" spans="1:12" x14ac:dyDescent="0.25">
      <c r="A111" s="35"/>
      <c r="B111" s="25">
        <v>45706</v>
      </c>
      <c r="C111" s="26">
        <v>7487.51</v>
      </c>
      <c r="D111" s="38">
        <v>7487.51</v>
      </c>
      <c r="E111" s="9">
        <v>299.5</v>
      </c>
      <c r="F111" s="9">
        <v>0</v>
      </c>
      <c r="G111" s="9">
        <v>0</v>
      </c>
      <c r="H111" s="9">
        <v>0</v>
      </c>
      <c r="I111" s="9">
        <v>7487.51</v>
      </c>
      <c r="J111" s="9">
        <v>0</v>
      </c>
      <c r="K111" s="9">
        <v>118.6</v>
      </c>
      <c r="L111" s="27">
        <v>546.29999999999995</v>
      </c>
    </row>
    <row r="112" spans="1:12" x14ac:dyDescent="0.25">
      <c r="A112" s="35"/>
      <c r="B112" s="25">
        <v>45707</v>
      </c>
      <c r="C112" s="26">
        <v>11026.1</v>
      </c>
      <c r="D112" s="38">
        <v>11026.1</v>
      </c>
      <c r="E112" s="9">
        <v>441.03999999999996</v>
      </c>
      <c r="F112" s="9">
        <v>0</v>
      </c>
      <c r="G112" s="9">
        <v>0</v>
      </c>
      <c r="H112" s="9">
        <v>0</v>
      </c>
      <c r="I112" s="9">
        <v>11026.1</v>
      </c>
      <c r="J112" s="9">
        <v>0</v>
      </c>
      <c r="K112" s="9">
        <v>174.64999999999998</v>
      </c>
      <c r="L112" s="27">
        <v>804.46</v>
      </c>
    </row>
    <row r="113" spans="1:12" x14ac:dyDescent="0.25">
      <c r="A113" s="35"/>
      <c r="B113" s="25">
        <v>45708</v>
      </c>
      <c r="C113" s="26">
        <v>118858.12999999999</v>
      </c>
      <c r="D113" s="38">
        <v>57590.12</v>
      </c>
      <c r="E113" s="9">
        <v>2405.91</v>
      </c>
      <c r="F113" s="9">
        <v>60523.199999999997</v>
      </c>
      <c r="G113" s="9">
        <v>0</v>
      </c>
      <c r="H113" s="9">
        <v>744.81</v>
      </c>
      <c r="I113" s="9">
        <v>95195.819999999992</v>
      </c>
      <c r="J113" s="9">
        <v>0</v>
      </c>
      <c r="K113" s="9">
        <v>1909.1699999999998</v>
      </c>
      <c r="L113" s="27">
        <v>8793.76</v>
      </c>
    </row>
    <row r="114" spans="1:12" x14ac:dyDescent="0.25">
      <c r="A114" s="35"/>
      <c r="B114" s="25">
        <v>45709</v>
      </c>
      <c r="C114" s="26">
        <v>19290.739999999998</v>
      </c>
      <c r="D114" s="38">
        <v>19169.36</v>
      </c>
      <c r="E114" s="9">
        <v>1065.57</v>
      </c>
      <c r="F114" s="9">
        <v>0</v>
      </c>
      <c r="G114" s="9">
        <v>0</v>
      </c>
      <c r="H114" s="9">
        <v>121.38</v>
      </c>
      <c r="I114" s="9">
        <v>15434.36</v>
      </c>
      <c r="J114" s="9">
        <v>0</v>
      </c>
      <c r="K114" s="9">
        <v>298.72000000000003</v>
      </c>
      <c r="L114" s="27">
        <v>1375.89</v>
      </c>
    </row>
    <row r="115" spans="1:12" x14ac:dyDescent="0.25">
      <c r="A115" s="15" t="s">
        <v>388</v>
      </c>
      <c r="B115" s="16"/>
      <c r="C115" s="22">
        <v>478423.94999999995</v>
      </c>
      <c r="D115" s="37">
        <v>415453.98</v>
      </c>
      <c r="E115" s="23">
        <v>19523.27</v>
      </c>
      <c r="F115" s="23">
        <v>60523.199999999997</v>
      </c>
      <c r="G115" s="23">
        <v>0</v>
      </c>
      <c r="H115" s="23">
        <v>2446.77</v>
      </c>
      <c r="I115" s="23">
        <v>400689.94</v>
      </c>
      <c r="J115" s="23">
        <v>0</v>
      </c>
      <c r="K115" s="23">
        <v>7531.4500000000007</v>
      </c>
      <c r="L115" s="24">
        <v>34690.44</v>
      </c>
    </row>
    <row r="116" spans="1:12" x14ac:dyDescent="0.25">
      <c r="A116" s="15" t="s">
        <v>184</v>
      </c>
      <c r="B116" s="21">
        <v>45691</v>
      </c>
      <c r="C116" s="22">
        <v>650.30999999999995</v>
      </c>
      <c r="D116" s="37">
        <v>0</v>
      </c>
      <c r="E116" s="23">
        <v>0</v>
      </c>
      <c r="F116" s="23">
        <v>650.30999999999995</v>
      </c>
      <c r="G116" s="23">
        <v>0</v>
      </c>
      <c r="H116" s="23">
        <v>0</v>
      </c>
      <c r="I116" s="23">
        <v>650.30999999999995</v>
      </c>
      <c r="J116" s="23">
        <v>0</v>
      </c>
      <c r="K116" s="23">
        <v>10.74</v>
      </c>
      <c r="L116" s="24">
        <v>49.42</v>
      </c>
    </row>
    <row r="117" spans="1:12" x14ac:dyDescent="0.25">
      <c r="A117" s="35"/>
      <c r="B117" s="25">
        <v>45695</v>
      </c>
      <c r="C117" s="26">
        <v>308.24</v>
      </c>
      <c r="D117" s="38">
        <v>0</v>
      </c>
      <c r="E117" s="9">
        <v>0</v>
      </c>
      <c r="F117" s="9">
        <v>308.24</v>
      </c>
      <c r="G117" s="9">
        <v>0</v>
      </c>
      <c r="H117" s="9">
        <v>0</v>
      </c>
      <c r="I117" s="9">
        <v>308.24</v>
      </c>
      <c r="J117" s="9">
        <v>0</v>
      </c>
      <c r="K117" s="9">
        <v>5.09</v>
      </c>
      <c r="L117" s="27">
        <v>23.43</v>
      </c>
    </row>
    <row r="118" spans="1:12" x14ac:dyDescent="0.25">
      <c r="A118" s="35"/>
      <c r="B118" s="25">
        <v>45698</v>
      </c>
      <c r="C118" s="26">
        <v>525502.42000000004</v>
      </c>
      <c r="D118" s="38">
        <v>0</v>
      </c>
      <c r="E118" s="9">
        <v>0</v>
      </c>
      <c r="F118" s="9">
        <v>525502.42000000004</v>
      </c>
      <c r="G118" s="9">
        <v>0</v>
      </c>
      <c r="H118" s="9">
        <v>0</v>
      </c>
      <c r="I118" s="9">
        <v>525502.42000000004</v>
      </c>
      <c r="J118" s="9">
        <v>0</v>
      </c>
      <c r="K118" s="9">
        <v>8670.8000000000011</v>
      </c>
      <c r="L118" s="27">
        <v>39938.18</v>
      </c>
    </row>
    <row r="119" spans="1:12" x14ac:dyDescent="0.25">
      <c r="A119" s="35"/>
      <c r="B119" s="25">
        <v>45700</v>
      </c>
      <c r="C119" s="26">
        <v>998.63</v>
      </c>
      <c r="D119" s="38">
        <v>0</v>
      </c>
      <c r="E119" s="9">
        <v>0</v>
      </c>
      <c r="F119" s="9">
        <v>998.63</v>
      </c>
      <c r="G119" s="9">
        <v>0</v>
      </c>
      <c r="H119" s="9">
        <v>0</v>
      </c>
      <c r="I119" s="9">
        <v>998.63</v>
      </c>
      <c r="J119" s="9">
        <v>0</v>
      </c>
      <c r="K119" s="9">
        <v>16.48</v>
      </c>
      <c r="L119" s="27">
        <v>75.900000000000006</v>
      </c>
    </row>
    <row r="120" spans="1:12" x14ac:dyDescent="0.25">
      <c r="A120" s="35"/>
      <c r="B120" s="25">
        <v>45701</v>
      </c>
      <c r="C120" s="26">
        <v>814473.42</v>
      </c>
      <c r="D120" s="38">
        <v>0</v>
      </c>
      <c r="E120" s="9">
        <v>0</v>
      </c>
      <c r="F120" s="9">
        <v>814473.42</v>
      </c>
      <c r="G120" s="9">
        <v>0</v>
      </c>
      <c r="H120" s="9">
        <v>0</v>
      </c>
      <c r="I120" s="9">
        <v>814473.42</v>
      </c>
      <c r="J120" s="9">
        <v>0</v>
      </c>
      <c r="K120" s="9">
        <v>13438.810000000001</v>
      </c>
      <c r="L120" s="27">
        <v>61899.97</v>
      </c>
    </row>
    <row r="121" spans="1:12" x14ac:dyDescent="0.25">
      <c r="A121" s="35"/>
      <c r="B121" s="25">
        <v>45706</v>
      </c>
      <c r="C121" s="26">
        <v>363.21</v>
      </c>
      <c r="D121" s="38">
        <v>0</v>
      </c>
      <c r="E121" s="9">
        <v>0</v>
      </c>
      <c r="F121" s="9">
        <v>363.21</v>
      </c>
      <c r="G121" s="9">
        <v>0</v>
      </c>
      <c r="H121" s="9">
        <v>0</v>
      </c>
      <c r="I121" s="9">
        <v>363.21</v>
      </c>
      <c r="J121" s="9">
        <v>0</v>
      </c>
      <c r="K121" s="9">
        <v>5.99</v>
      </c>
      <c r="L121" s="27">
        <v>27.6</v>
      </c>
    </row>
    <row r="122" spans="1:12" x14ac:dyDescent="0.25">
      <c r="A122" s="35"/>
      <c r="B122" s="25">
        <v>45707</v>
      </c>
      <c r="C122" s="26">
        <v>652959.32999999996</v>
      </c>
      <c r="D122" s="38">
        <v>0</v>
      </c>
      <c r="E122" s="9">
        <v>0</v>
      </c>
      <c r="F122" s="9">
        <v>652959.32999999996</v>
      </c>
      <c r="G122" s="9">
        <v>0</v>
      </c>
      <c r="H122" s="9">
        <v>0</v>
      </c>
      <c r="I122" s="9">
        <v>652959.32999999996</v>
      </c>
      <c r="J122" s="9">
        <v>0</v>
      </c>
      <c r="K122" s="9">
        <v>10773.84</v>
      </c>
      <c r="L122" s="27">
        <v>49624.92</v>
      </c>
    </row>
    <row r="123" spans="1:12" x14ac:dyDescent="0.25">
      <c r="A123" s="35"/>
      <c r="B123" s="25">
        <v>45708</v>
      </c>
      <c r="C123" s="26">
        <v>240.56</v>
      </c>
      <c r="D123" s="38">
        <v>0</v>
      </c>
      <c r="E123" s="9">
        <v>0</v>
      </c>
      <c r="F123" s="9">
        <v>240.56</v>
      </c>
      <c r="G123" s="9">
        <v>0</v>
      </c>
      <c r="H123" s="9">
        <v>0</v>
      </c>
      <c r="I123" s="9">
        <v>240.56</v>
      </c>
      <c r="J123" s="9">
        <v>0</v>
      </c>
      <c r="K123" s="9">
        <v>3.97</v>
      </c>
      <c r="L123" s="27">
        <v>18.28</v>
      </c>
    </row>
    <row r="124" spans="1:12" x14ac:dyDescent="0.25">
      <c r="A124" s="35"/>
      <c r="B124" s="25">
        <v>45709</v>
      </c>
      <c r="C124" s="26">
        <v>974701.9</v>
      </c>
      <c r="D124" s="38">
        <v>0</v>
      </c>
      <c r="E124" s="9">
        <v>0</v>
      </c>
      <c r="F124" s="9">
        <v>974701.9</v>
      </c>
      <c r="G124" s="9">
        <v>0</v>
      </c>
      <c r="H124" s="9">
        <v>0</v>
      </c>
      <c r="I124" s="9">
        <v>974701.9</v>
      </c>
      <c r="J124" s="9">
        <v>0</v>
      </c>
      <c r="K124" s="9">
        <v>16082.6</v>
      </c>
      <c r="L124" s="27">
        <v>74077.38</v>
      </c>
    </row>
    <row r="125" spans="1:12" x14ac:dyDescent="0.25">
      <c r="A125" s="15" t="s">
        <v>389</v>
      </c>
      <c r="B125" s="16"/>
      <c r="C125" s="22">
        <v>2970198.02</v>
      </c>
      <c r="D125" s="37">
        <v>0</v>
      </c>
      <c r="E125" s="23">
        <v>0</v>
      </c>
      <c r="F125" s="23">
        <v>2970198.02</v>
      </c>
      <c r="G125" s="23">
        <v>0</v>
      </c>
      <c r="H125" s="23">
        <v>0</v>
      </c>
      <c r="I125" s="23">
        <v>2970198.02</v>
      </c>
      <c r="J125" s="23">
        <v>0</v>
      </c>
      <c r="K125" s="23">
        <v>49008.32</v>
      </c>
      <c r="L125" s="24">
        <v>225735.08</v>
      </c>
    </row>
    <row r="126" spans="1:12" x14ac:dyDescent="0.25">
      <c r="A126" s="15" t="s">
        <v>239</v>
      </c>
      <c r="B126" s="21">
        <v>45695</v>
      </c>
      <c r="C126" s="22">
        <v>5396</v>
      </c>
      <c r="D126" s="37">
        <v>0</v>
      </c>
      <c r="E126" s="23">
        <v>0</v>
      </c>
      <c r="F126" s="23">
        <v>5396</v>
      </c>
      <c r="G126" s="23">
        <v>0</v>
      </c>
      <c r="H126" s="23">
        <v>0</v>
      </c>
      <c r="I126" s="23">
        <v>5396</v>
      </c>
      <c r="J126" s="23">
        <v>0</v>
      </c>
      <c r="K126" s="23">
        <v>0</v>
      </c>
      <c r="L126" s="24">
        <v>0</v>
      </c>
    </row>
    <row r="127" spans="1:12" x14ac:dyDescent="0.25">
      <c r="A127" s="35"/>
      <c r="B127" s="25">
        <v>45702</v>
      </c>
      <c r="C127" s="26">
        <v>3750</v>
      </c>
      <c r="D127" s="38">
        <v>0</v>
      </c>
      <c r="E127" s="9">
        <v>0</v>
      </c>
      <c r="F127" s="9">
        <v>3750</v>
      </c>
      <c r="G127" s="9">
        <v>0</v>
      </c>
      <c r="H127" s="9">
        <v>0</v>
      </c>
      <c r="I127" s="9">
        <v>3750</v>
      </c>
      <c r="J127" s="9">
        <v>0</v>
      </c>
      <c r="K127" s="9">
        <v>0</v>
      </c>
      <c r="L127" s="27">
        <v>0</v>
      </c>
    </row>
    <row r="128" spans="1:12" x14ac:dyDescent="0.25">
      <c r="A128" s="35"/>
      <c r="B128" s="25">
        <v>45706</v>
      </c>
      <c r="C128" s="26">
        <v>4765.2</v>
      </c>
      <c r="D128" s="38">
        <v>0</v>
      </c>
      <c r="E128" s="9">
        <v>0</v>
      </c>
      <c r="F128" s="9">
        <v>4765.2</v>
      </c>
      <c r="G128" s="9">
        <v>0</v>
      </c>
      <c r="H128" s="9">
        <v>0</v>
      </c>
      <c r="I128" s="9">
        <v>4765.2</v>
      </c>
      <c r="J128" s="9">
        <v>0</v>
      </c>
      <c r="K128" s="9">
        <v>0</v>
      </c>
      <c r="L128" s="27">
        <v>0</v>
      </c>
    </row>
    <row r="129" spans="1:12" x14ac:dyDescent="0.25">
      <c r="A129" s="35"/>
      <c r="B129" s="25">
        <v>45709</v>
      </c>
      <c r="C129" s="26">
        <v>3369.24</v>
      </c>
      <c r="D129" s="38">
        <v>0</v>
      </c>
      <c r="E129" s="9">
        <v>0</v>
      </c>
      <c r="F129" s="9">
        <v>3369.24</v>
      </c>
      <c r="G129" s="9">
        <v>0</v>
      </c>
      <c r="H129" s="9">
        <v>0</v>
      </c>
      <c r="I129" s="9">
        <v>3369.24</v>
      </c>
      <c r="J129" s="9">
        <v>0</v>
      </c>
      <c r="K129" s="9">
        <v>0</v>
      </c>
      <c r="L129" s="27">
        <v>0</v>
      </c>
    </row>
    <row r="130" spans="1:12" x14ac:dyDescent="0.25">
      <c r="A130" s="15" t="s">
        <v>390</v>
      </c>
      <c r="B130" s="16"/>
      <c r="C130" s="22">
        <v>17280.440000000002</v>
      </c>
      <c r="D130" s="37">
        <v>0</v>
      </c>
      <c r="E130" s="23">
        <v>0</v>
      </c>
      <c r="F130" s="23">
        <v>17280.440000000002</v>
      </c>
      <c r="G130" s="23">
        <v>0</v>
      </c>
      <c r="H130" s="23">
        <v>0</v>
      </c>
      <c r="I130" s="23">
        <v>17280.440000000002</v>
      </c>
      <c r="J130" s="23">
        <v>0</v>
      </c>
      <c r="K130" s="23">
        <v>0</v>
      </c>
      <c r="L130" s="24">
        <v>0</v>
      </c>
    </row>
    <row r="131" spans="1:12" x14ac:dyDescent="0.25">
      <c r="A131" s="15" t="s">
        <v>313</v>
      </c>
      <c r="B131" s="21">
        <v>45705</v>
      </c>
      <c r="C131" s="22">
        <v>1526</v>
      </c>
      <c r="D131" s="37">
        <v>1526</v>
      </c>
      <c r="E131" s="23">
        <v>183.12</v>
      </c>
      <c r="F131" s="23">
        <v>0</v>
      </c>
      <c r="G131" s="23">
        <v>0</v>
      </c>
      <c r="H131" s="23">
        <v>0</v>
      </c>
      <c r="I131" s="23">
        <v>1526</v>
      </c>
      <c r="J131" s="23">
        <v>0</v>
      </c>
      <c r="K131" s="23">
        <v>22.16</v>
      </c>
      <c r="L131" s="24">
        <v>102.06</v>
      </c>
    </row>
    <row r="132" spans="1:12" x14ac:dyDescent="0.25">
      <c r="A132" s="15" t="s">
        <v>391</v>
      </c>
      <c r="B132" s="16"/>
      <c r="C132" s="22">
        <v>1526</v>
      </c>
      <c r="D132" s="37">
        <v>1526</v>
      </c>
      <c r="E132" s="23">
        <v>183.12</v>
      </c>
      <c r="F132" s="23">
        <v>0</v>
      </c>
      <c r="G132" s="23">
        <v>0</v>
      </c>
      <c r="H132" s="23">
        <v>0</v>
      </c>
      <c r="I132" s="23">
        <v>1526</v>
      </c>
      <c r="J132" s="23">
        <v>0</v>
      </c>
      <c r="K132" s="23">
        <v>22.16</v>
      </c>
      <c r="L132" s="24">
        <v>102.06</v>
      </c>
    </row>
    <row r="133" spans="1:12" x14ac:dyDescent="0.25">
      <c r="A133" s="15" t="s">
        <v>315</v>
      </c>
      <c r="B133" s="21">
        <v>45705</v>
      </c>
      <c r="C133" s="22">
        <v>1526</v>
      </c>
      <c r="D133" s="37">
        <v>0</v>
      </c>
      <c r="E133" s="23">
        <v>0</v>
      </c>
      <c r="F133" s="23">
        <v>1526</v>
      </c>
      <c r="G133" s="23">
        <v>0</v>
      </c>
      <c r="H133" s="23">
        <v>0</v>
      </c>
      <c r="I133" s="23">
        <v>1526</v>
      </c>
      <c r="J133" s="23">
        <v>0</v>
      </c>
      <c r="K133" s="23">
        <v>0</v>
      </c>
      <c r="L133" s="24">
        <v>0</v>
      </c>
    </row>
    <row r="134" spans="1:12" x14ac:dyDescent="0.25">
      <c r="A134" s="15" t="s">
        <v>392</v>
      </c>
      <c r="B134" s="16"/>
      <c r="C134" s="22">
        <v>1526</v>
      </c>
      <c r="D134" s="37">
        <v>0</v>
      </c>
      <c r="E134" s="23">
        <v>0</v>
      </c>
      <c r="F134" s="23">
        <v>1526</v>
      </c>
      <c r="G134" s="23">
        <v>0</v>
      </c>
      <c r="H134" s="23">
        <v>0</v>
      </c>
      <c r="I134" s="23">
        <v>1526</v>
      </c>
      <c r="J134" s="23">
        <v>0</v>
      </c>
      <c r="K134" s="23">
        <v>0</v>
      </c>
      <c r="L134" s="24">
        <v>0</v>
      </c>
    </row>
    <row r="135" spans="1:12" x14ac:dyDescent="0.25">
      <c r="A135" s="28" t="s">
        <v>7</v>
      </c>
      <c r="B135" s="36"/>
      <c r="C135" s="29">
        <v>911460.75</v>
      </c>
      <c r="D135" s="39">
        <v>2239345.9499999997</v>
      </c>
      <c r="E135" s="30">
        <v>92601.030000000013</v>
      </c>
      <c r="F135" s="30">
        <v>-1315169.1499999999</v>
      </c>
      <c r="G135" s="30">
        <v>28885.15</v>
      </c>
      <c r="H135" s="30">
        <v>4319.6899999999996</v>
      </c>
      <c r="I135" s="30">
        <v>1181321.9699999997</v>
      </c>
      <c r="J135" s="30">
        <v>0</v>
      </c>
      <c r="K135" s="30">
        <v>20173.66</v>
      </c>
      <c r="L135" s="31">
        <v>93626.600000000151</v>
      </c>
    </row>
  </sheetData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BB238-5BF0-446D-A5B5-C4F3FA5BB3FE}">
  <dimension ref="A1:L302"/>
  <sheetViews>
    <sheetView workbookViewId="0">
      <selection activeCell="F19" sqref="F19"/>
    </sheetView>
  </sheetViews>
  <sheetFormatPr defaultRowHeight="15" x14ac:dyDescent="0.25"/>
  <cols>
    <col min="1" max="1" width="19.85546875" customWidth="1"/>
    <col min="2" max="2" width="17.42578125" bestFit="1" customWidth="1"/>
    <col min="3" max="3" width="12.42578125" bestFit="1" customWidth="1"/>
    <col min="4" max="4" width="19.28515625" bestFit="1" customWidth="1"/>
    <col min="5" max="5" width="9.140625" bestFit="1" customWidth="1"/>
    <col min="6" max="6" width="13.140625" bestFit="1" customWidth="1"/>
    <col min="7" max="7" width="9.140625" bestFit="1" customWidth="1"/>
    <col min="8" max="8" width="8.140625" bestFit="1" customWidth="1"/>
    <col min="9" max="9" width="12.42578125" bestFit="1" customWidth="1"/>
    <col min="10" max="10" width="8.42578125" bestFit="1" customWidth="1"/>
    <col min="11" max="11" width="9.85546875" bestFit="1" customWidth="1"/>
    <col min="12" max="12" width="10.85546875" bestFit="1" customWidth="1"/>
    <col min="19" max="20" width="10.5703125" bestFit="1" customWidth="1"/>
  </cols>
  <sheetData>
    <row r="1" spans="1:12" x14ac:dyDescent="0.25">
      <c r="A1" s="32" t="s">
        <v>26</v>
      </c>
      <c r="B1" s="33" t="s">
        <v>39</v>
      </c>
    </row>
    <row r="2" spans="1:12" x14ac:dyDescent="0.25">
      <c r="A2" s="32" t="s">
        <v>22</v>
      </c>
      <c r="B2" s="33" t="s">
        <v>39</v>
      </c>
    </row>
    <row r="3" spans="1:12" x14ac:dyDescent="0.25">
      <c r="A3" s="32" t="s">
        <v>3</v>
      </c>
      <c r="B3" s="33" t="s">
        <v>39</v>
      </c>
    </row>
    <row r="4" spans="1:12" x14ac:dyDescent="0.25">
      <c r="A4" s="32" t="s">
        <v>9</v>
      </c>
      <c r="B4" s="33" t="s">
        <v>39</v>
      </c>
    </row>
    <row r="6" spans="1:12" x14ac:dyDescent="0.25">
      <c r="A6" s="15"/>
      <c r="B6" s="16"/>
      <c r="C6" s="17" t="s">
        <v>8</v>
      </c>
      <c r="D6" s="16"/>
      <c r="E6" s="16"/>
      <c r="F6" s="16"/>
      <c r="G6" s="16"/>
      <c r="H6" s="16"/>
      <c r="I6" s="16"/>
      <c r="J6" s="16"/>
      <c r="K6" s="16"/>
      <c r="L6" s="18"/>
    </row>
    <row r="7" spans="1:12" x14ac:dyDescent="0.25">
      <c r="A7" s="17" t="s">
        <v>30</v>
      </c>
      <c r="B7" s="17" t="s">
        <v>0</v>
      </c>
      <c r="C7" s="15" t="s">
        <v>31</v>
      </c>
      <c r="D7" s="19" t="s">
        <v>176</v>
      </c>
      <c r="E7" s="19" t="s">
        <v>32</v>
      </c>
      <c r="F7" s="19" t="s">
        <v>33</v>
      </c>
      <c r="G7" s="19" t="s">
        <v>34</v>
      </c>
      <c r="H7" s="19" t="s">
        <v>95</v>
      </c>
      <c r="I7" s="19" t="s">
        <v>94</v>
      </c>
      <c r="J7" s="19" t="s">
        <v>96</v>
      </c>
      <c r="K7" s="19" t="s">
        <v>35</v>
      </c>
      <c r="L7" s="20" t="s">
        <v>36</v>
      </c>
    </row>
    <row r="8" spans="1:12" x14ac:dyDescent="0.25">
      <c r="A8" s="15" t="s">
        <v>88</v>
      </c>
      <c r="B8" s="15" t="s">
        <v>66</v>
      </c>
      <c r="C8" s="22">
        <v>1219.5800000000002</v>
      </c>
      <c r="D8" s="37">
        <v>1218.97</v>
      </c>
      <c r="E8" s="23">
        <v>48.760000000000005</v>
      </c>
      <c r="F8" s="23">
        <v>0</v>
      </c>
      <c r="G8" s="23">
        <v>0</v>
      </c>
      <c r="H8" s="23">
        <v>0.61</v>
      </c>
      <c r="I8" s="23">
        <v>1199.97</v>
      </c>
      <c r="J8" s="23">
        <v>0</v>
      </c>
      <c r="K8" s="23">
        <v>19.309999999999999</v>
      </c>
      <c r="L8" s="24">
        <v>88.95</v>
      </c>
    </row>
    <row r="9" spans="1:12" x14ac:dyDescent="0.25">
      <c r="A9" s="35"/>
      <c r="B9" s="34" t="s">
        <v>267</v>
      </c>
      <c r="C9" s="26">
        <v>868.2</v>
      </c>
      <c r="D9" s="38">
        <v>868.2</v>
      </c>
      <c r="E9" s="9">
        <v>34.730000000000004</v>
      </c>
      <c r="F9" s="9">
        <v>0</v>
      </c>
      <c r="G9" s="9">
        <v>0</v>
      </c>
      <c r="H9" s="9">
        <v>0</v>
      </c>
      <c r="I9" s="9">
        <v>853.2</v>
      </c>
      <c r="J9" s="9">
        <v>0</v>
      </c>
      <c r="K9" s="9">
        <v>13.75</v>
      </c>
      <c r="L9" s="27">
        <v>63.34</v>
      </c>
    </row>
    <row r="10" spans="1:12" x14ac:dyDescent="0.25">
      <c r="A10" s="35"/>
      <c r="B10" s="34" t="s">
        <v>68</v>
      </c>
      <c r="C10" s="26">
        <v>45</v>
      </c>
      <c r="D10" s="38">
        <v>45</v>
      </c>
      <c r="E10" s="9">
        <v>1.8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0.72</v>
      </c>
      <c r="L10" s="27">
        <v>3.27</v>
      </c>
    </row>
    <row r="11" spans="1:12" x14ac:dyDescent="0.25">
      <c r="A11" s="35"/>
      <c r="B11" s="34" t="s">
        <v>323</v>
      </c>
      <c r="C11" s="26">
        <v>30</v>
      </c>
      <c r="D11" s="38">
        <v>30</v>
      </c>
      <c r="E11" s="9">
        <v>1.2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0.48</v>
      </c>
      <c r="L11" s="27">
        <v>2.19</v>
      </c>
    </row>
    <row r="12" spans="1:12" x14ac:dyDescent="0.25">
      <c r="A12" s="35"/>
      <c r="B12" s="34" t="s">
        <v>286</v>
      </c>
      <c r="C12" s="26">
        <v>30</v>
      </c>
      <c r="D12" s="38">
        <v>30</v>
      </c>
      <c r="E12" s="9">
        <v>1.2</v>
      </c>
      <c r="F12" s="9">
        <v>0</v>
      </c>
      <c r="G12" s="9">
        <v>0</v>
      </c>
      <c r="H12" s="9">
        <v>0</v>
      </c>
      <c r="I12" s="9">
        <v>0</v>
      </c>
      <c r="J12" s="9">
        <v>0</v>
      </c>
      <c r="K12" s="9">
        <v>0.48</v>
      </c>
      <c r="L12" s="27">
        <v>2.1800000000000002</v>
      </c>
    </row>
    <row r="13" spans="1:12" x14ac:dyDescent="0.25">
      <c r="A13" s="35"/>
      <c r="B13" s="34" t="s">
        <v>237</v>
      </c>
      <c r="C13" s="26">
        <v>30</v>
      </c>
      <c r="D13" s="38">
        <v>30</v>
      </c>
      <c r="E13" s="9">
        <v>1.2</v>
      </c>
      <c r="F13" s="9">
        <v>0</v>
      </c>
      <c r="G13" s="9">
        <v>0</v>
      </c>
      <c r="H13" s="9">
        <v>0</v>
      </c>
      <c r="I13" s="9">
        <v>0</v>
      </c>
      <c r="J13" s="9">
        <v>0</v>
      </c>
      <c r="K13" s="9">
        <v>0.48</v>
      </c>
      <c r="L13" s="27">
        <v>2.19</v>
      </c>
    </row>
    <row r="14" spans="1:12" x14ac:dyDescent="0.25">
      <c r="A14" s="35"/>
      <c r="B14" s="34" t="s">
        <v>173</v>
      </c>
      <c r="C14" s="26">
        <v>30</v>
      </c>
      <c r="D14" s="38">
        <v>30</v>
      </c>
      <c r="E14" s="9">
        <v>1.2</v>
      </c>
      <c r="F14" s="9">
        <v>0</v>
      </c>
      <c r="G14" s="9">
        <v>0</v>
      </c>
      <c r="H14" s="9">
        <v>0</v>
      </c>
      <c r="I14" s="9">
        <v>0</v>
      </c>
      <c r="J14" s="9">
        <v>0</v>
      </c>
      <c r="K14" s="9">
        <v>0.48</v>
      </c>
      <c r="L14" s="27">
        <v>2.1800000000000002</v>
      </c>
    </row>
    <row r="15" spans="1:12" x14ac:dyDescent="0.25">
      <c r="A15" s="35"/>
      <c r="B15" s="34" t="s">
        <v>192</v>
      </c>
      <c r="C15" s="26">
        <v>30</v>
      </c>
      <c r="D15" s="38">
        <v>30</v>
      </c>
      <c r="E15" s="9">
        <v>1.2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0.48</v>
      </c>
      <c r="L15" s="27">
        <v>2.1800000000000002</v>
      </c>
    </row>
    <row r="16" spans="1:12" x14ac:dyDescent="0.25">
      <c r="A16" s="35"/>
      <c r="B16" s="34" t="s">
        <v>126</v>
      </c>
      <c r="C16" s="26">
        <v>25.32</v>
      </c>
      <c r="D16" s="38">
        <v>25</v>
      </c>
      <c r="E16" s="9">
        <v>1</v>
      </c>
      <c r="F16" s="9">
        <v>0</v>
      </c>
      <c r="G16" s="9">
        <v>0</v>
      </c>
      <c r="H16" s="9">
        <v>0.32</v>
      </c>
      <c r="I16" s="9">
        <v>0</v>
      </c>
      <c r="J16" s="9">
        <v>0</v>
      </c>
      <c r="K16" s="9">
        <v>0.4</v>
      </c>
      <c r="L16" s="27">
        <v>1.82</v>
      </c>
    </row>
    <row r="17" spans="1:12" x14ac:dyDescent="0.25">
      <c r="A17" s="35"/>
      <c r="B17" s="34" t="s">
        <v>187</v>
      </c>
      <c r="C17" s="26">
        <v>25</v>
      </c>
      <c r="D17" s="38">
        <v>25</v>
      </c>
      <c r="E17" s="9">
        <v>1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0.4</v>
      </c>
      <c r="L17" s="27">
        <v>1.82</v>
      </c>
    </row>
    <row r="18" spans="1:12" x14ac:dyDescent="0.25">
      <c r="A18" s="35"/>
      <c r="B18" s="34" t="s">
        <v>185</v>
      </c>
      <c r="C18" s="26">
        <v>20</v>
      </c>
      <c r="D18" s="38">
        <v>20</v>
      </c>
      <c r="E18" s="9">
        <v>0.8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0.32</v>
      </c>
      <c r="L18" s="27">
        <v>1.46</v>
      </c>
    </row>
    <row r="19" spans="1:12" x14ac:dyDescent="0.25">
      <c r="A19" s="35"/>
      <c r="B19" s="34" t="s">
        <v>302</v>
      </c>
      <c r="C19" s="26">
        <v>15</v>
      </c>
      <c r="D19" s="38">
        <v>15</v>
      </c>
      <c r="E19" s="9">
        <v>0.6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0.24</v>
      </c>
      <c r="L19" s="27">
        <v>1.0900000000000001</v>
      </c>
    </row>
    <row r="20" spans="1:12" x14ac:dyDescent="0.25">
      <c r="A20" s="35"/>
      <c r="B20" s="34" t="s">
        <v>303</v>
      </c>
      <c r="C20" s="26">
        <v>14.55</v>
      </c>
      <c r="D20" s="38">
        <v>14.55</v>
      </c>
      <c r="E20" s="9">
        <v>0.57999999999999996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0.23</v>
      </c>
      <c r="L20" s="27">
        <v>1.06</v>
      </c>
    </row>
    <row r="21" spans="1:12" x14ac:dyDescent="0.25">
      <c r="A21" s="35"/>
      <c r="B21" s="34" t="s">
        <v>326</v>
      </c>
      <c r="C21" s="26">
        <v>12.5</v>
      </c>
      <c r="D21" s="38">
        <v>12.5</v>
      </c>
      <c r="E21" s="9">
        <v>0.5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0.2</v>
      </c>
      <c r="L21" s="27">
        <v>0.91</v>
      </c>
    </row>
    <row r="22" spans="1:12" x14ac:dyDescent="0.25">
      <c r="A22" s="35"/>
      <c r="B22" s="34" t="s">
        <v>277</v>
      </c>
      <c r="C22" s="26">
        <v>10</v>
      </c>
      <c r="D22" s="38">
        <v>10</v>
      </c>
      <c r="E22" s="9">
        <v>0.4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0.16</v>
      </c>
      <c r="L22" s="27">
        <v>0.73</v>
      </c>
    </row>
    <row r="23" spans="1:12" x14ac:dyDescent="0.25">
      <c r="A23" s="35"/>
      <c r="B23" s="34" t="s">
        <v>186</v>
      </c>
      <c r="C23" s="26">
        <v>10</v>
      </c>
      <c r="D23" s="38">
        <v>10</v>
      </c>
      <c r="E23" s="9">
        <v>0.4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0.16</v>
      </c>
      <c r="L23" s="27">
        <v>0.73</v>
      </c>
    </row>
    <row r="24" spans="1:12" x14ac:dyDescent="0.25">
      <c r="A24" s="35"/>
      <c r="B24" s="34" t="s">
        <v>116</v>
      </c>
      <c r="C24" s="26">
        <v>10</v>
      </c>
      <c r="D24" s="38">
        <v>10</v>
      </c>
      <c r="E24" s="9">
        <v>0.4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0.16</v>
      </c>
      <c r="L24" s="27">
        <v>0.73</v>
      </c>
    </row>
    <row r="25" spans="1:12" x14ac:dyDescent="0.25">
      <c r="A25" s="35"/>
      <c r="B25" s="34" t="s">
        <v>78</v>
      </c>
      <c r="C25" s="26">
        <v>10</v>
      </c>
      <c r="D25" s="38">
        <v>10</v>
      </c>
      <c r="E25" s="9">
        <v>0.4</v>
      </c>
      <c r="F25" s="9">
        <v>0</v>
      </c>
      <c r="G25" s="9">
        <v>0</v>
      </c>
      <c r="H25" s="9">
        <v>0</v>
      </c>
      <c r="I25" s="9">
        <v>0</v>
      </c>
      <c r="J25" s="9">
        <v>0</v>
      </c>
      <c r="K25" s="9">
        <v>0.16</v>
      </c>
      <c r="L25" s="27">
        <v>0.73</v>
      </c>
    </row>
    <row r="26" spans="1:12" x14ac:dyDescent="0.25">
      <c r="A26" s="35"/>
      <c r="B26" s="34" t="s">
        <v>124</v>
      </c>
      <c r="C26" s="26">
        <v>8.4</v>
      </c>
      <c r="D26" s="38">
        <v>8.4</v>
      </c>
      <c r="E26" s="9">
        <v>0.34</v>
      </c>
      <c r="F26" s="9">
        <v>0</v>
      </c>
      <c r="G26" s="9">
        <v>0</v>
      </c>
      <c r="H26" s="9">
        <v>0</v>
      </c>
      <c r="I26" s="9">
        <v>0</v>
      </c>
      <c r="J26" s="9">
        <v>0</v>
      </c>
      <c r="K26" s="9">
        <v>0.13</v>
      </c>
      <c r="L26" s="27">
        <v>0.61</v>
      </c>
    </row>
    <row r="27" spans="1:12" x14ac:dyDescent="0.25">
      <c r="A27" s="35"/>
      <c r="B27" s="34" t="s">
        <v>272</v>
      </c>
      <c r="C27" s="26">
        <v>7.5</v>
      </c>
      <c r="D27" s="38">
        <v>7.5</v>
      </c>
      <c r="E27" s="9">
        <v>0.3</v>
      </c>
      <c r="F27" s="9">
        <v>0</v>
      </c>
      <c r="G27" s="9">
        <v>0</v>
      </c>
      <c r="H27" s="9">
        <v>0</v>
      </c>
      <c r="I27" s="9">
        <v>0</v>
      </c>
      <c r="J27" s="9">
        <v>0</v>
      </c>
      <c r="K27" s="9">
        <v>0.12</v>
      </c>
      <c r="L27" s="27">
        <v>0.55000000000000004</v>
      </c>
    </row>
    <row r="28" spans="1:12" x14ac:dyDescent="0.25">
      <c r="A28" s="35"/>
      <c r="B28" s="34" t="s">
        <v>285</v>
      </c>
      <c r="C28" s="26">
        <v>7.5</v>
      </c>
      <c r="D28" s="38">
        <v>7.5</v>
      </c>
      <c r="E28" s="9">
        <v>0.3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0.12</v>
      </c>
      <c r="L28" s="27">
        <v>0.55000000000000004</v>
      </c>
    </row>
    <row r="29" spans="1:12" x14ac:dyDescent="0.25">
      <c r="A29" s="35"/>
      <c r="B29" s="34" t="s">
        <v>314</v>
      </c>
      <c r="C29" s="26">
        <v>1526</v>
      </c>
      <c r="D29" s="38">
        <v>0</v>
      </c>
      <c r="E29" s="9">
        <v>0</v>
      </c>
      <c r="F29" s="9">
        <v>1526</v>
      </c>
      <c r="G29" s="9">
        <v>0</v>
      </c>
      <c r="H29" s="9">
        <v>0</v>
      </c>
      <c r="I29" s="9">
        <v>1526</v>
      </c>
      <c r="J29" s="9">
        <v>0</v>
      </c>
      <c r="K29" s="9">
        <v>0</v>
      </c>
      <c r="L29" s="27">
        <v>0</v>
      </c>
    </row>
    <row r="30" spans="1:12" x14ac:dyDescent="0.25">
      <c r="A30" s="35"/>
      <c r="B30" s="34" t="s">
        <v>363</v>
      </c>
      <c r="C30" s="26">
        <v>6709.5</v>
      </c>
      <c r="D30" s="38">
        <v>0</v>
      </c>
      <c r="E30" s="9">
        <v>0</v>
      </c>
      <c r="F30" s="9">
        <v>0</v>
      </c>
      <c r="G30" s="9">
        <v>6709.5</v>
      </c>
      <c r="H30" s="9">
        <v>0</v>
      </c>
      <c r="I30" s="9">
        <v>6709.5</v>
      </c>
      <c r="J30" s="9">
        <v>0</v>
      </c>
      <c r="K30" s="9">
        <v>0</v>
      </c>
      <c r="L30" s="27">
        <v>0</v>
      </c>
    </row>
    <row r="31" spans="1:12" x14ac:dyDescent="0.25">
      <c r="A31" s="35"/>
      <c r="B31" s="34" t="s">
        <v>351</v>
      </c>
      <c r="C31" s="26">
        <v>68.95</v>
      </c>
      <c r="D31" s="38">
        <v>0</v>
      </c>
      <c r="E31" s="9">
        <v>0</v>
      </c>
      <c r="F31" s="9">
        <v>68.95</v>
      </c>
      <c r="G31" s="9">
        <v>0</v>
      </c>
      <c r="H31" s="9">
        <v>0</v>
      </c>
      <c r="I31" s="9">
        <v>68.95</v>
      </c>
      <c r="J31" s="9">
        <v>0</v>
      </c>
      <c r="K31" s="9">
        <v>0</v>
      </c>
      <c r="L31" s="27">
        <v>0</v>
      </c>
    </row>
    <row r="32" spans="1:12" x14ac:dyDescent="0.25">
      <c r="A32" s="35"/>
      <c r="B32" s="34" t="s">
        <v>197</v>
      </c>
      <c r="C32" s="26">
        <v>13950</v>
      </c>
      <c r="D32" s="38">
        <v>0</v>
      </c>
      <c r="E32" s="9">
        <v>0</v>
      </c>
      <c r="F32" s="9">
        <v>13950</v>
      </c>
      <c r="G32" s="9">
        <v>0</v>
      </c>
      <c r="H32" s="9">
        <v>0</v>
      </c>
      <c r="I32" s="9">
        <v>13950</v>
      </c>
      <c r="J32" s="9">
        <v>0</v>
      </c>
      <c r="K32" s="9">
        <v>0</v>
      </c>
      <c r="L32" s="27">
        <v>0</v>
      </c>
    </row>
    <row r="33" spans="1:12" x14ac:dyDescent="0.25">
      <c r="A33" s="35"/>
      <c r="B33" s="34" t="s">
        <v>178</v>
      </c>
      <c r="C33" s="26">
        <v>9844.11</v>
      </c>
      <c r="D33" s="38">
        <v>0</v>
      </c>
      <c r="E33" s="9">
        <v>0</v>
      </c>
      <c r="F33" s="9">
        <v>9844.11</v>
      </c>
      <c r="G33" s="9">
        <v>0</v>
      </c>
      <c r="H33" s="9">
        <v>0</v>
      </c>
      <c r="I33" s="9">
        <v>9844.11</v>
      </c>
      <c r="J33" s="9">
        <v>0</v>
      </c>
      <c r="K33" s="9">
        <v>0</v>
      </c>
      <c r="L33" s="27">
        <v>0</v>
      </c>
    </row>
    <row r="34" spans="1:12" x14ac:dyDescent="0.25">
      <c r="A34" s="35"/>
      <c r="B34" s="34" t="s">
        <v>215</v>
      </c>
      <c r="C34" s="26">
        <v>-14838.74</v>
      </c>
      <c r="D34" s="38">
        <v>0</v>
      </c>
      <c r="E34" s="9">
        <v>0</v>
      </c>
      <c r="F34" s="9">
        <v>-14838.74</v>
      </c>
      <c r="G34" s="9">
        <v>0</v>
      </c>
      <c r="H34" s="9">
        <v>0</v>
      </c>
      <c r="I34" s="9">
        <v>-14838.74</v>
      </c>
      <c r="J34" s="9">
        <v>0</v>
      </c>
      <c r="K34" s="9">
        <v>0</v>
      </c>
      <c r="L34" s="27">
        <v>0</v>
      </c>
    </row>
    <row r="35" spans="1:12" x14ac:dyDescent="0.25">
      <c r="A35" s="35"/>
      <c r="B35" s="34" t="s">
        <v>128</v>
      </c>
      <c r="C35" s="26">
        <v>441.44</v>
      </c>
      <c r="D35" s="38">
        <v>0</v>
      </c>
      <c r="E35" s="9">
        <v>0</v>
      </c>
      <c r="F35" s="9">
        <v>441.44</v>
      </c>
      <c r="G35" s="9">
        <v>0</v>
      </c>
      <c r="H35" s="9">
        <v>0</v>
      </c>
      <c r="I35" s="9">
        <v>441.44</v>
      </c>
      <c r="J35" s="9">
        <v>0</v>
      </c>
      <c r="K35" s="9">
        <v>0</v>
      </c>
      <c r="L35" s="27">
        <v>0</v>
      </c>
    </row>
    <row r="36" spans="1:12" x14ac:dyDescent="0.25">
      <c r="A36" s="35"/>
      <c r="B36" s="34" t="s">
        <v>330</v>
      </c>
      <c r="C36" s="26">
        <v>3957.72</v>
      </c>
      <c r="D36" s="38">
        <v>0</v>
      </c>
      <c r="E36" s="9">
        <v>0</v>
      </c>
      <c r="F36" s="9">
        <v>0</v>
      </c>
      <c r="G36" s="9">
        <v>3957.72</v>
      </c>
      <c r="H36" s="9">
        <v>0</v>
      </c>
      <c r="I36" s="9">
        <v>3957.72</v>
      </c>
      <c r="J36" s="9">
        <v>0</v>
      </c>
      <c r="K36" s="9">
        <v>0</v>
      </c>
      <c r="L36" s="27">
        <v>0</v>
      </c>
    </row>
    <row r="37" spans="1:12" x14ac:dyDescent="0.25">
      <c r="A37" s="35"/>
      <c r="B37" s="34" t="s">
        <v>274</v>
      </c>
      <c r="C37" s="26">
        <v>6276.7</v>
      </c>
      <c r="D37" s="38">
        <v>0</v>
      </c>
      <c r="E37" s="9">
        <v>0</v>
      </c>
      <c r="F37" s="9">
        <v>6276.7</v>
      </c>
      <c r="G37" s="9">
        <v>0</v>
      </c>
      <c r="H37" s="9">
        <v>0</v>
      </c>
      <c r="I37" s="9">
        <v>6276.7</v>
      </c>
      <c r="J37" s="9">
        <v>0</v>
      </c>
      <c r="K37" s="9">
        <v>0</v>
      </c>
      <c r="L37" s="27">
        <v>0</v>
      </c>
    </row>
    <row r="38" spans="1:12" x14ac:dyDescent="0.25">
      <c r="A38" s="35"/>
      <c r="B38" s="34" t="s">
        <v>98</v>
      </c>
      <c r="C38" s="26">
        <v>-1062050.53</v>
      </c>
      <c r="D38" s="38">
        <v>0</v>
      </c>
      <c r="E38" s="9">
        <v>0</v>
      </c>
      <c r="F38" s="9">
        <v>-1051031.43</v>
      </c>
      <c r="G38" s="9">
        <v>0</v>
      </c>
      <c r="H38" s="9">
        <v>0</v>
      </c>
      <c r="I38" s="9">
        <v>-968195.87</v>
      </c>
      <c r="J38" s="9">
        <v>0</v>
      </c>
      <c r="K38" s="9">
        <v>-15704.74</v>
      </c>
      <c r="L38" s="27">
        <v>-72167.12</v>
      </c>
    </row>
    <row r="39" spans="1:12" x14ac:dyDescent="0.25">
      <c r="A39" s="35"/>
      <c r="B39" s="34" t="s">
        <v>81</v>
      </c>
      <c r="C39" s="26">
        <v>13911.2</v>
      </c>
      <c r="D39" s="38">
        <v>0</v>
      </c>
      <c r="E39" s="9">
        <v>0</v>
      </c>
      <c r="F39" s="9">
        <v>13911.2</v>
      </c>
      <c r="G39" s="9">
        <v>0</v>
      </c>
      <c r="H39" s="9">
        <v>0</v>
      </c>
      <c r="I39" s="9">
        <v>13911.2</v>
      </c>
      <c r="J39" s="9">
        <v>0</v>
      </c>
      <c r="K39" s="9">
        <v>0</v>
      </c>
      <c r="L39" s="27">
        <v>0</v>
      </c>
    </row>
    <row r="40" spans="1:12" x14ac:dyDescent="0.25">
      <c r="A40" s="35"/>
      <c r="B40" s="34" t="s">
        <v>234</v>
      </c>
      <c r="C40" s="26">
        <v>3118.7</v>
      </c>
      <c r="D40" s="38">
        <v>0</v>
      </c>
      <c r="E40" s="9">
        <v>0</v>
      </c>
      <c r="F40" s="9">
        <v>3118.7</v>
      </c>
      <c r="G40" s="9">
        <v>0</v>
      </c>
      <c r="H40" s="9">
        <v>0</v>
      </c>
      <c r="I40" s="9">
        <v>3118.7</v>
      </c>
      <c r="J40" s="9">
        <v>0</v>
      </c>
      <c r="K40" s="9">
        <v>0</v>
      </c>
      <c r="L40" s="27">
        <v>0</v>
      </c>
    </row>
    <row r="41" spans="1:12" x14ac:dyDescent="0.25">
      <c r="A41" s="35"/>
      <c r="B41" s="34" t="s">
        <v>301</v>
      </c>
      <c r="C41" s="26">
        <v>1323</v>
      </c>
      <c r="D41" s="38">
        <v>0</v>
      </c>
      <c r="E41" s="9">
        <v>0</v>
      </c>
      <c r="F41" s="9">
        <v>0</v>
      </c>
      <c r="G41" s="9">
        <v>1323</v>
      </c>
      <c r="H41" s="9">
        <v>0</v>
      </c>
      <c r="I41" s="9">
        <v>1323</v>
      </c>
      <c r="J41" s="9">
        <v>0</v>
      </c>
      <c r="K41" s="9">
        <v>0</v>
      </c>
      <c r="L41" s="27">
        <v>0</v>
      </c>
    </row>
    <row r="42" spans="1:12" x14ac:dyDescent="0.25">
      <c r="A42" s="35"/>
      <c r="B42" s="34" t="s">
        <v>143</v>
      </c>
      <c r="C42" s="26">
        <v>1360</v>
      </c>
      <c r="D42" s="38">
        <v>0</v>
      </c>
      <c r="E42" s="9">
        <v>0</v>
      </c>
      <c r="F42" s="9">
        <v>1360</v>
      </c>
      <c r="G42" s="9">
        <v>0</v>
      </c>
      <c r="H42" s="9">
        <v>0</v>
      </c>
      <c r="I42" s="9">
        <v>1360</v>
      </c>
      <c r="J42" s="9">
        <v>0</v>
      </c>
      <c r="K42" s="9">
        <v>0</v>
      </c>
      <c r="L42" s="27">
        <v>0</v>
      </c>
    </row>
    <row r="43" spans="1:12" x14ac:dyDescent="0.25">
      <c r="A43" s="35"/>
      <c r="B43" s="34" t="s">
        <v>183</v>
      </c>
      <c r="C43" s="26">
        <v>2970198.0200000005</v>
      </c>
      <c r="D43" s="38">
        <v>0</v>
      </c>
      <c r="E43" s="9">
        <v>0</v>
      </c>
      <c r="F43" s="9">
        <v>2970198.0200000005</v>
      </c>
      <c r="G43" s="9">
        <v>0</v>
      </c>
      <c r="H43" s="9">
        <v>0</v>
      </c>
      <c r="I43" s="9">
        <v>2970198.0200000005</v>
      </c>
      <c r="J43" s="9">
        <v>0</v>
      </c>
      <c r="K43" s="9">
        <v>49008.32</v>
      </c>
      <c r="L43" s="27">
        <v>225735.07999999996</v>
      </c>
    </row>
    <row r="44" spans="1:12" x14ac:dyDescent="0.25">
      <c r="A44" s="35"/>
      <c r="B44" s="34" t="s">
        <v>255</v>
      </c>
      <c r="C44" s="26">
        <v>-793889.03</v>
      </c>
      <c r="D44" s="38">
        <v>0</v>
      </c>
      <c r="E44" s="9">
        <v>0</v>
      </c>
      <c r="F44" s="9">
        <v>-785697.10000000009</v>
      </c>
      <c r="G44" s="9">
        <v>0</v>
      </c>
      <c r="H44" s="9">
        <v>0</v>
      </c>
      <c r="I44" s="9">
        <v>-724347.73</v>
      </c>
      <c r="J44" s="9">
        <v>0</v>
      </c>
      <c r="K44" s="9">
        <v>-11636.39</v>
      </c>
      <c r="L44" s="27">
        <v>-53472.02</v>
      </c>
    </row>
    <row r="45" spans="1:12" x14ac:dyDescent="0.25">
      <c r="A45" s="35"/>
      <c r="B45" s="34" t="s">
        <v>125</v>
      </c>
      <c r="C45" s="26">
        <v>3479.9</v>
      </c>
      <c r="D45" s="38">
        <v>0</v>
      </c>
      <c r="E45" s="9">
        <v>0</v>
      </c>
      <c r="F45" s="9">
        <v>0</v>
      </c>
      <c r="G45" s="9">
        <v>3479.9</v>
      </c>
      <c r="H45" s="9">
        <v>0</v>
      </c>
      <c r="I45" s="9">
        <v>3479.9</v>
      </c>
      <c r="J45" s="9">
        <v>0</v>
      </c>
      <c r="K45" s="9">
        <v>0</v>
      </c>
      <c r="L45" s="27">
        <v>0</v>
      </c>
    </row>
    <row r="46" spans="1:12" x14ac:dyDescent="0.25">
      <c r="A46" s="35"/>
      <c r="B46" s="34" t="s">
        <v>167</v>
      </c>
      <c r="C46" s="26">
        <v>5555.48</v>
      </c>
      <c r="D46" s="38">
        <v>0</v>
      </c>
      <c r="E46" s="9">
        <v>0</v>
      </c>
      <c r="F46" s="9">
        <v>0</v>
      </c>
      <c r="G46" s="9">
        <v>5555.48</v>
      </c>
      <c r="H46" s="9">
        <v>0</v>
      </c>
      <c r="I46" s="9">
        <v>5555.48</v>
      </c>
      <c r="J46" s="9">
        <v>0</v>
      </c>
      <c r="K46" s="9">
        <v>0</v>
      </c>
      <c r="L46" s="27">
        <v>0</v>
      </c>
    </row>
    <row r="47" spans="1:12" x14ac:dyDescent="0.25">
      <c r="A47" s="35"/>
      <c r="B47" s="34" t="s">
        <v>165</v>
      </c>
      <c r="C47" s="26">
        <v>7859.55</v>
      </c>
      <c r="D47" s="38">
        <v>0</v>
      </c>
      <c r="E47" s="9">
        <v>0</v>
      </c>
      <c r="F47" s="9">
        <v>0</v>
      </c>
      <c r="G47" s="9">
        <v>7859.55</v>
      </c>
      <c r="H47" s="9">
        <v>0</v>
      </c>
      <c r="I47" s="9">
        <v>7859.55</v>
      </c>
      <c r="J47" s="9">
        <v>0</v>
      </c>
      <c r="K47" s="9">
        <v>0</v>
      </c>
      <c r="L47" s="27">
        <v>0</v>
      </c>
    </row>
    <row r="48" spans="1:12" x14ac:dyDescent="0.25">
      <c r="A48" s="35"/>
      <c r="B48" s="34" t="s">
        <v>270</v>
      </c>
      <c r="C48" s="26">
        <v>750</v>
      </c>
      <c r="D48" s="38">
        <v>0</v>
      </c>
      <c r="E48" s="9">
        <v>0</v>
      </c>
      <c r="F48" s="9">
        <v>750</v>
      </c>
      <c r="G48" s="9">
        <v>0</v>
      </c>
      <c r="H48" s="9">
        <v>0</v>
      </c>
      <c r="I48" s="9">
        <v>750</v>
      </c>
      <c r="J48" s="9">
        <v>0</v>
      </c>
      <c r="K48" s="9">
        <v>0</v>
      </c>
      <c r="L48" s="27">
        <v>0</v>
      </c>
    </row>
    <row r="49" spans="1:12" x14ac:dyDescent="0.25">
      <c r="A49" s="35"/>
      <c r="B49" s="34" t="s">
        <v>223</v>
      </c>
      <c r="C49" s="26">
        <v>9207.6299999999992</v>
      </c>
      <c r="D49" s="38">
        <v>0</v>
      </c>
      <c r="E49" s="9">
        <v>0</v>
      </c>
      <c r="F49" s="9">
        <v>9207.6299999999992</v>
      </c>
      <c r="G49" s="9">
        <v>0</v>
      </c>
      <c r="H49" s="9">
        <v>0</v>
      </c>
      <c r="I49" s="9">
        <v>9207.6299999999992</v>
      </c>
      <c r="J49" s="9">
        <v>0</v>
      </c>
      <c r="K49" s="9">
        <v>0</v>
      </c>
      <c r="L49" s="27">
        <v>0</v>
      </c>
    </row>
    <row r="50" spans="1:12" x14ac:dyDescent="0.25">
      <c r="A50" s="35"/>
      <c r="B50" s="34" t="s">
        <v>365</v>
      </c>
      <c r="C50" s="26">
        <v>3369.24</v>
      </c>
      <c r="D50" s="38">
        <v>0</v>
      </c>
      <c r="E50" s="9">
        <v>0</v>
      </c>
      <c r="F50" s="9">
        <v>3369.24</v>
      </c>
      <c r="G50" s="9">
        <v>0</v>
      </c>
      <c r="H50" s="9">
        <v>0</v>
      </c>
      <c r="I50" s="9">
        <v>3369.24</v>
      </c>
      <c r="J50" s="9">
        <v>0</v>
      </c>
      <c r="K50" s="9">
        <v>0</v>
      </c>
      <c r="L50" s="27">
        <v>0</v>
      </c>
    </row>
    <row r="51" spans="1:12" x14ac:dyDescent="0.25">
      <c r="A51" s="35"/>
      <c r="B51" s="34" t="s">
        <v>49</v>
      </c>
      <c r="C51" s="26">
        <v>-2612323.8699999996</v>
      </c>
      <c r="D51" s="38">
        <v>0</v>
      </c>
      <c r="E51" s="9">
        <v>0</v>
      </c>
      <c r="F51" s="9">
        <v>-2585657</v>
      </c>
      <c r="G51" s="9">
        <v>0</v>
      </c>
      <c r="H51" s="9">
        <v>0</v>
      </c>
      <c r="I51" s="9">
        <v>-2385719.81</v>
      </c>
      <c r="J51" s="9">
        <v>0</v>
      </c>
      <c r="K51" s="9">
        <v>-37917.78</v>
      </c>
      <c r="L51" s="27">
        <v>-174241.43</v>
      </c>
    </row>
    <row r="52" spans="1:12" x14ac:dyDescent="0.25">
      <c r="A52" s="35"/>
      <c r="B52" s="34" t="s">
        <v>195</v>
      </c>
      <c r="C52" s="26">
        <v>27509.93</v>
      </c>
      <c r="D52" s="38">
        <v>0</v>
      </c>
      <c r="E52" s="9">
        <v>0</v>
      </c>
      <c r="F52" s="9">
        <v>27509.93</v>
      </c>
      <c r="G52" s="9">
        <v>0</v>
      </c>
      <c r="H52" s="9">
        <v>0</v>
      </c>
      <c r="I52" s="9">
        <v>27509.93</v>
      </c>
      <c r="J52" s="9">
        <v>0</v>
      </c>
      <c r="K52" s="9">
        <v>0</v>
      </c>
      <c r="L52" s="27">
        <v>0</v>
      </c>
    </row>
    <row r="53" spans="1:12" x14ac:dyDescent="0.25">
      <c r="A53" s="35"/>
      <c r="B53" s="34" t="s">
        <v>152</v>
      </c>
      <c r="C53" s="26">
        <v>-7741.51</v>
      </c>
      <c r="D53" s="38">
        <v>-7741.51</v>
      </c>
      <c r="E53" s="9">
        <v>-309.66000000000003</v>
      </c>
      <c r="F53" s="9">
        <v>0</v>
      </c>
      <c r="G53" s="9">
        <v>0</v>
      </c>
      <c r="H53" s="9">
        <v>0</v>
      </c>
      <c r="I53" s="9">
        <v>0</v>
      </c>
      <c r="J53" s="9">
        <v>0</v>
      </c>
      <c r="K53" s="9">
        <v>-122.62</v>
      </c>
      <c r="L53" s="27">
        <v>-564.82000000000005</v>
      </c>
    </row>
    <row r="54" spans="1:12" x14ac:dyDescent="0.25">
      <c r="A54" s="15" t="s">
        <v>90</v>
      </c>
      <c r="B54" s="16"/>
      <c r="C54" s="22">
        <v>-1397968.0599999994</v>
      </c>
      <c r="D54" s="37">
        <v>-5283.89</v>
      </c>
      <c r="E54" s="23">
        <v>-211.35000000000011</v>
      </c>
      <c r="F54" s="23">
        <v>-1375692.3499999994</v>
      </c>
      <c r="G54" s="23">
        <v>28885.15</v>
      </c>
      <c r="H54" s="23">
        <v>0.92999999999999994</v>
      </c>
      <c r="I54" s="23">
        <v>-1000631.9099999999</v>
      </c>
      <c r="J54" s="23">
        <v>0</v>
      </c>
      <c r="K54" s="23">
        <v>-16334.229999999992</v>
      </c>
      <c r="L54" s="24">
        <v>-74531.040000000037</v>
      </c>
    </row>
    <row r="55" spans="1:12" x14ac:dyDescent="0.25">
      <c r="A55" s="15" t="s">
        <v>89</v>
      </c>
      <c r="B55" s="15" t="s">
        <v>241</v>
      </c>
      <c r="C55" s="22">
        <v>398009.88999999996</v>
      </c>
      <c r="D55" s="37">
        <v>398009.88999999996</v>
      </c>
      <c r="E55" s="23">
        <v>15920.4</v>
      </c>
      <c r="F55" s="23">
        <v>0</v>
      </c>
      <c r="G55" s="23">
        <v>0</v>
      </c>
      <c r="H55" s="23">
        <v>0</v>
      </c>
      <c r="I55" s="23">
        <v>398009.88999999996</v>
      </c>
      <c r="J55" s="23">
        <v>0</v>
      </c>
      <c r="K55" s="23">
        <v>6304.46</v>
      </c>
      <c r="L55" s="24">
        <v>29038.799999999999</v>
      </c>
    </row>
    <row r="56" spans="1:12" x14ac:dyDescent="0.25">
      <c r="A56" s="35"/>
      <c r="B56" s="34" t="s">
        <v>235</v>
      </c>
      <c r="C56" s="26">
        <v>56530.350000000006</v>
      </c>
      <c r="D56" s="38">
        <v>56530.350000000006</v>
      </c>
      <c r="E56" s="9">
        <v>2261.21</v>
      </c>
      <c r="F56" s="9">
        <v>0</v>
      </c>
      <c r="G56" s="9">
        <v>0</v>
      </c>
      <c r="H56" s="9">
        <v>0</v>
      </c>
      <c r="I56" s="9">
        <v>56530.350000000006</v>
      </c>
      <c r="J56" s="9">
        <v>0</v>
      </c>
      <c r="K56" s="9">
        <v>895.44999999999993</v>
      </c>
      <c r="L56" s="27">
        <v>4124.46</v>
      </c>
    </row>
    <row r="57" spans="1:12" x14ac:dyDescent="0.25">
      <c r="A57" s="35"/>
      <c r="B57" s="34" t="s">
        <v>189</v>
      </c>
      <c r="C57" s="26">
        <v>49182.31</v>
      </c>
      <c r="D57" s="38">
        <v>49182.31</v>
      </c>
      <c r="E57" s="9">
        <v>1967.29</v>
      </c>
      <c r="F57" s="9">
        <v>0</v>
      </c>
      <c r="G57" s="9">
        <v>0</v>
      </c>
      <c r="H57" s="9">
        <v>0</v>
      </c>
      <c r="I57" s="9">
        <v>49182.31</v>
      </c>
      <c r="J57" s="9">
        <v>0</v>
      </c>
      <c r="K57" s="9">
        <v>779.04</v>
      </c>
      <c r="L57" s="27">
        <v>3588.34</v>
      </c>
    </row>
    <row r="58" spans="1:12" x14ac:dyDescent="0.25">
      <c r="A58" s="35"/>
      <c r="B58" s="34" t="s">
        <v>179</v>
      </c>
      <c r="C58" s="26">
        <v>48485.83</v>
      </c>
      <c r="D58" s="38">
        <v>48485.83</v>
      </c>
      <c r="E58" s="9">
        <v>1939.44</v>
      </c>
      <c r="F58" s="9">
        <v>0</v>
      </c>
      <c r="G58" s="9">
        <v>0</v>
      </c>
      <c r="H58" s="9">
        <v>0</v>
      </c>
      <c r="I58" s="9">
        <v>48485.83</v>
      </c>
      <c r="J58" s="9">
        <v>0</v>
      </c>
      <c r="K58" s="9">
        <v>768.01</v>
      </c>
      <c r="L58" s="27">
        <v>3537.53</v>
      </c>
    </row>
    <row r="59" spans="1:12" x14ac:dyDescent="0.25">
      <c r="A59" s="35"/>
      <c r="B59" s="34" t="s">
        <v>148</v>
      </c>
      <c r="C59" s="26">
        <v>45650.16</v>
      </c>
      <c r="D59" s="38">
        <v>45650.16</v>
      </c>
      <c r="E59" s="9">
        <v>1826.01</v>
      </c>
      <c r="F59" s="9">
        <v>0</v>
      </c>
      <c r="G59" s="9">
        <v>0</v>
      </c>
      <c r="H59" s="9">
        <v>0</v>
      </c>
      <c r="I59" s="9">
        <v>45650.16</v>
      </c>
      <c r="J59" s="9">
        <v>0</v>
      </c>
      <c r="K59" s="9">
        <v>723.09</v>
      </c>
      <c r="L59" s="27">
        <v>3330.64</v>
      </c>
    </row>
    <row r="60" spans="1:12" x14ac:dyDescent="0.25">
      <c r="A60" s="35"/>
      <c r="B60" s="34" t="s">
        <v>109</v>
      </c>
      <c r="C60" s="26">
        <v>41332.89</v>
      </c>
      <c r="D60" s="38">
        <v>41332.89</v>
      </c>
      <c r="E60" s="9">
        <v>1653.32</v>
      </c>
      <c r="F60" s="9">
        <v>0</v>
      </c>
      <c r="G60" s="9">
        <v>0</v>
      </c>
      <c r="H60" s="9">
        <v>0</v>
      </c>
      <c r="I60" s="9">
        <v>41332.89</v>
      </c>
      <c r="J60" s="9">
        <v>0</v>
      </c>
      <c r="K60" s="9">
        <v>654.71</v>
      </c>
      <c r="L60" s="27">
        <v>3015.65</v>
      </c>
    </row>
    <row r="61" spans="1:12" x14ac:dyDescent="0.25">
      <c r="A61" s="35"/>
      <c r="B61" s="34" t="s">
        <v>299</v>
      </c>
      <c r="C61" s="26">
        <v>33702.14</v>
      </c>
      <c r="D61" s="38">
        <v>33702.14</v>
      </c>
      <c r="E61" s="9">
        <v>1348.0900000000001</v>
      </c>
      <c r="F61" s="9">
        <v>0</v>
      </c>
      <c r="G61" s="9">
        <v>0</v>
      </c>
      <c r="H61" s="9">
        <v>0</v>
      </c>
      <c r="I61" s="9">
        <v>33702.14</v>
      </c>
      <c r="J61" s="9">
        <v>0</v>
      </c>
      <c r="K61" s="9">
        <v>533.83999999999992</v>
      </c>
      <c r="L61" s="27">
        <v>2458.91</v>
      </c>
    </row>
    <row r="62" spans="1:12" x14ac:dyDescent="0.25">
      <c r="A62" s="35"/>
      <c r="B62" s="34" t="s">
        <v>157</v>
      </c>
      <c r="C62" s="26">
        <v>32986.79</v>
      </c>
      <c r="D62" s="38">
        <v>32899.040000000001</v>
      </c>
      <c r="E62" s="9">
        <v>1315.97</v>
      </c>
      <c r="F62" s="9">
        <v>0</v>
      </c>
      <c r="G62" s="9">
        <v>0</v>
      </c>
      <c r="H62" s="9">
        <v>87.75</v>
      </c>
      <c r="I62" s="9">
        <v>30199.040000000001</v>
      </c>
      <c r="J62" s="9">
        <v>0</v>
      </c>
      <c r="K62" s="9">
        <v>521.11</v>
      </c>
      <c r="L62" s="27">
        <v>2400.3000000000002</v>
      </c>
    </row>
    <row r="63" spans="1:12" x14ac:dyDescent="0.25">
      <c r="A63" s="35"/>
      <c r="B63" s="34" t="s">
        <v>244</v>
      </c>
      <c r="C63" s="26">
        <v>32043.7</v>
      </c>
      <c r="D63" s="38">
        <v>31519.4</v>
      </c>
      <c r="E63" s="9">
        <v>1260.78</v>
      </c>
      <c r="F63" s="9">
        <v>0</v>
      </c>
      <c r="G63" s="9">
        <v>0</v>
      </c>
      <c r="H63" s="9">
        <v>524.29999999999995</v>
      </c>
      <c r="I63" s="9">
        <v>15386.9</v>
      </c>
      <c r="J63" s="9">
        <v>0</v>
      </c>
      <c r="K63" s="9">
        <v>499.27</v>
      </c>
      <c r="L63" s="27">
        <v>2299.66</v>
      </c>
    </row>
    <row r="64" spans="1:12" x14ac:dyDescent="0.25">
      <c r="A64" s="35"/>
      <c r="B64" s="34" t="s">
        <v>73</v>
      </c>
      <c r="C64" s="26">
        <v>31337.82</v>
      </c>
      <c r="D64" s="38">
        <v>31337.82</v>
      </c>
      <c r="E64" s="9">
        <v>1253.51</v>
      </c>
      <c r="F64" s="9">
        <v>0</v>
      </c>
      <c r="G64" s="9">
        <v>0</v>
      </c>
      <c r="H64" s="9">
        <v>0</v>
      </c>
      <c r="I64" s="9">
        <v>31337.82</v>
      </c>
      <c r="J64" s="9">
        <v>0</v>
      </c>
      <c r="K64" s="9">
        <v>496.39</v>
      </c>
      <c r="L64" s="27">
        <v>2286.41</v>
      </c>
    </row>
    <row r="65" spans="1:12" x14ac:dyDescent="0.25">
      <c r="A65" s="35"/>
      <c r="B65" s="34" t="s">
        <v>224</v>
      </c>
      <c r="C65" s="26">
        <v>31831</v>
      </c>
      <c r="D65" s="38">
        <v>30856</v>
      </c>
      <c r="E65" s="9">
        <v>1234.24</v>
      </c>
      <c r="F65" s="9">
        <v>0</v>
      </c>
      <c r="G65" s="9">
        <v>0</v>
      </c>
      <c r="H65" s="9">
        <v>975</v>
      </c>
      <c r="I65" s="9">
        <v>856</v>
      </c>
      <c r="J65" s="9">
        <v>0</v>
      </c>
      <c r="K65" s="9">
        <v>488.76</v>
      </c>
      <c r="L65" s="27">
        <v>2251.25</v>
      </c>
    </row>
    <row r="66" spans="1:12" x14ac:dyDescent="0.25">
      <c r="A66" s="35"/>
      <c r="B66" s="34" t="s">
        <v>238</v>
      </c>
      <c r="C66" s="26">
        <v>30578.84</v>
      </c>
      <c r="D66" s="38">
        <v>30578.84</v>
      </c>
      <c r="E66" s="9">
        <v>1223.1500000000001</v>
      </c>
      <c r="F66" s="9">
        <v>0</v>
      </c>
      <c r="G66" s="9">
        <v>0</v>
      </c>
      <c r="H66" s="9">
        <v>0</v>
      </c>
      <c r="I66" s="9">
        <v>30578.84</v>
      </c>
      <c r="J66" s="9">
        <v>0</v>
      </c>
      <c r="K66" s="9">
        <v>484.37</v>
      </c>
      <c r="L66" s="27">
        <v>2231.0300000000002</v>
      </c>
    </row>
    <row r="67" spans="1:12" x14ac:dyDescent="0.25">
      <c r="A67" s="35"/>
      <c r="B67" s="34" t="s">
        <v>328</v>
      </c>
      <c r="C67" s="26">
        <v>30487.59</v>
      </c>
      <c r="D67" s="38">
        <v>30487.59</v>
      </c>
      <c r="E67" s="9">
        <v>1219.5</v>
      </c>
      <c r="F67" s="9">
        <v>0</v>
      </c>
      <c r="G67" s="9">
        <v>0</v>
      </c>
      <c r="H67" s="9">
        <v>0</v>
      </c>
      <c r="I67" s="9">
        <v>30487.59</v>
      </c>
      <c r="J67" s="9">
        <v>0</v>
      </c>
      <c r="K67" s="9">
        <v>482.92</v>
      </c>
      <c r="L67" s="27">
        <v>2224.39</v>
      </c>
    </row>
    <row r="68" spans="1:12" x14ac:dyDescent="0.25">
      <c r="A68" s="35"/>
      <c r="B68" s="34" t="s">
        <v>50</v>
      </c>
      <c r="C68" s="26">
        <v>29044.04</v>
      </c>
      <c r="D68" s="38">
        <v>29044.04</v>
      </c>
      <c r="E68" s="9">
        <v>1161.76</v>
      </c>
      <c r="F68" s="9">
        <v>0</v>
      </c>
      <c r="G68" s="9">
        <v>0</v>
      </c>
      <c r="H68" s="9">
        <v>0</v>
      </c>
      <c r="I68" s="9">
        <v>29044.04</v>
      </c>
      <c r="J68" s="9">
        <v>0</v>
      </c>
      <c r="K68" s="9">
        <v>460.06</v>
      </c>
      <c r="L68" s="27">
        <v>2119.0500000000002</v>
      </c>
    </row>
    <row r="69" spans="1:12" x14ac:dyDescent="0.25">
      <c r="A69" s="35"/>
      <c r="B69" s="34" t="s">
        <v>166</v>
      </c>
      <c r="C69" s="26">
        <v>28944.35</v>
      </c>
      <c r="D69" s="38">
        <v>28944.35</v>
      </c>
      <c r="E69" s="9">
        <v>1157.78</v>
      </c>
      <c r="F69" s="9">
        <v>0</v>
      </c>
      <c r="G69" s="9">
        <v>0</v>
      </c>
      <c r="H69" s="9">
        <v>0</v>
      </c>
      <c r="I69" s="9">
        <v>28944.35</v>
      </c>
      <c r="J69" s="9">
        <v>0</v>
      </c>
      <c r="K69" s="9">
        <v>458.47</v>
      </c>
      <c r="L69" s="27">
        <v>2111.7800000000002</v>
      </c>
    </row>
    <row r="70" spans="1:12" x14ac:dyDescent="0.25">
      <c r="A70" s="35"/>
      <c r="B70" s="34" t="s">
        <v>116</v>
      </c>
      <c r="C70" s="26">
        <v>27682.799999999999</v>
      </c>
      <c r="D70" s="38">
        <v>27682.799999999999</v>
      </c>
      <c r="E70" s="9">
        <v>1107.31</v>
      </c>
      <c r="F70" s="9">
        <v>0</v>
      </c>
      <c r="G70" s="9">
        <v>0</v>
      </c>
      <c r="H70" s="9">
        <v>0</v>
      </c>
      <c r="I70" s="9">
        <v>27682.799999999999</v>
      </c>
      <c r="J70" s="9">
        <v>0</v>
      </c>
      <c r="K70" s="9">
        <v>438.5</v>
      </c>
      <c r="L70" s="27">
        <v>2019.74</v>
      </c>
    </row>
    <row r="71" spans="1:12" x14ac:dyDescent="0.25">
      <c r="A71" s="35"/>
      <c r="B71" s="34" t="s">
        <v>194</v>
      </c>
      <c r="C71" s="26">
        <v>27509.93</v>
      </c>
      <c r="D71" s="38">
        <v>27509.93</v>
      </c>
      <c r="E71" s="9">
        <v>1100.3899999999999</v>
      </c>
      <c r="F71" s="9">
        <v>0</v>
      </c>
      <c r="G71" s="9">
        <v>0</v>
      </c>
      <c r="H71" s="9">
        <v>0</v>
      </c>
      <c r="I71" s="9">
        <v>27509.93</v>
      </c>
      <c r="J71" s="9">
        <v>0</v>
      </c>
      <c r="K71" s="9">
        <v>435.76</v>
      </c>
      <c r="L71" s="27">
        <v>2007.1299999999999</v>
      </c>
    </row>
    <row r="72" spans="1:12" x14ac:dyDescent="0.25">
      <c r="A72" s="35"/>
      <c r="B72" s="34" t="s">
        <v>243</v>
      </c>
      <c r="C72" s="26">
        <v>27295.99</v>
      </c>
      <c r="D72" s="38">
        <v>26436.799999999999</v>
      </c>
      <c r="E72" s="9">
        <v>1057.47</v>
      </c>
      <c r="F72" s="9">
        <v>0</v>
      </c>
      <c r="G72" s="9">
        <v>0</v>
      </c>
      <c r="H72" s="9">
        <v>859.19</v>
      </c>
      <c r="I72" s="9">
        <v>0</v>
      </c>
      <c r="J72" s="9">
        <v>0</v>
      </c>
      <c r="K72" s="9">
        <v>418.76</v>
      </c>
      <c r="L72" s="27">
        <v>1928.83</v>
      </c>
    </row>
    <row r="73" spans="1:12" x14ac:dyDescent="0.25">
      <c r="A73" s="35"/>
      <c r="B73" s="34" t="s">
        <v>126</v>
      </c>
      <c r="C73" s="26">
        <v>26054.63</v>
      </c>
      <c r="D73" s="38">
        <v>26054.63</v>
      </c>
      <c r="E73" s="9">
        <v>1042.19</v>
      </c>
      <c r="F73" s="9">
        <v>0</v>
      </c>
      <c r="G73" s="9">
        <v>0</v>
      </c>
      <c r="H73" s="9">
        <v>0</v>
      </c>
      <c r="I73" s="9">
        <v>26054.63</v>
      </c>
      <c r="J73" s="9">
        <v>0</v>
      </c>
      <c r="K73" s="9">
        <v>412.72</v>
      </c>
      <c r="L73" s="27">
        <v>1900.93</v>
      </c>
    </row>
    <row r="74" spans="1:12" x14ac:dyDescent="0.25">
      <c r="A74" s="35"/>
      <c r="B74" s="34" t="s">
        <v>337</v>
      </c>
      <c r="C74" s="26">
        <v>22022.11</v>
      </c>
      <c r="D74" s="38">
        <v>22022.11</v>
      </c>
      <c r="E74" s="9">
        <v>880.88</v>
      </c>
      <c r="F74" s="9">
        <v>0</v>
      </c>
      <c r="G74" s="9">
        <v>0</v>
      </c>
      <c r="H74" s="9">
        <v>0</v>
      </c>
      <c r="I74" s="9">
        <v>22022.11</v>
      </c>
      <c r="J74" s="9">
        <v>0</v>
      </c>
      <c r="K74" s="9">
        <v>348.83</v>
      </c>
      <c r="L74" s="27">
        <v>1606.73</v>
      </c>
    </row>
    <row r="75" spans="1:12" x14ac:dyDescent="0.25">
      <c r="A75" s="35"/>
      <c r="B75" s="34" t="s">
        <v>366</v>
      </c>
      <c r="C75" s="26">
        <v>21583.200000000001</v>
      </c>
      <c r="D75" s="38">
        <v>21583.200000000001</v>
      </c>
      <c r="E75" s="9">
        <v>863.33</v>
      </c>
      <c r="F75" s="9">
        <v>0</v>
      </c>
      <c r="G75" s="9">
        <v>0</v>
      </c>
      <c r="H75" s="9">
        <v>0</v>
      </c>
      <c r="I75" s="9">
        <v>21583.200000000001</v>
      </c>
      <c r="J75" s="9">
        <v>0</v>
      </c>
      <c r="K75" s="9">
        <v>341.88</v>
      </c>
      <c r="L75" s="27">
        <v>1574.71</v>
      </c>
    </row>
    <row r="76" spans="1:12" x14ac:dyDescent="0.25">
      <c r="A76" s="35"/>
      <c r="B76" s="34" t="s">
        <v>261</v>
      </c>
      <c r="C76" s="26">
        <v>7253.84</v>
      </c>
      <c r="D76" s="38">
        <v>7136.97</v>
      </c>
      <c r="E76" s="9">
        <v>856.43000000000006</v>
      </c>
      <c r="F76" s="9">
        <v>0</v>
      </c>
      <c r="G76" s="9">
        <v>0</v>
      </c>
      <c r="H76" s="9">
        <v>116.87</v>
      </c>
      <c r="I76" s="9">
        <v>3540.67</v>
      </c>
      <c r="J76" s="9">
        <v>0</v>
      </c>
      <c r="K76" s="9">
        <v>103.63</v>
      </c>
      <c r="L76" s="27">
        <v>477.30999999999995</v>
      </c>
    </row>
    <row r="77" spans="1:12" x14ac:dyDescent="0.25">
      <c r="A77" s="35"/>
      <c r="B77" s="34" t="s">
        <v>254</v>
      </c>
      <c r="C77" s="26">
        <v>20724.599999999999</v>
      </c>
      <c r="D77" s="38">
        <v>20724.599999999999</v>
      </c>
      <c r="E77" s="9">
        <v>828.98</v>
      </c>
      <c r="F77" s="9">
        <v>0</v>
      </c>
      <c r="G77" s="9">
        <v>0</v>
      </c>
      <c r="H77" s="9">
        <v>0</v>
      </c>
      <c r="I77" s="9">
        <v>20724.599999999999</v>
      </c>
      <c r="J77" s="9">
        <v>0</v>
      </c>
      <c r="K77" s="9">
        <v>328.27</v>
      </c>
      <c r="L77" s="27">
        <v>1512.06</v>
      </c>
    </row>
    <row r="78" spans="1:12" x14ac:dyDescent="0.25">
      <c r="A78" s="35"/>
      <c r="B78" s="34" t="s">
        <v>264</v>
      </c>
      <c r="C78" s="26">
        <v>20174.71</v>
      </c>
      <c r="D78" s="38">
        <v>20174.71</v>
      </c>
      <c r="E78" s="9">
        <v>806.99</v>
      </c>
      <c r="F78" s="9">
        <v>0</v>
      </c>
      <c r="G78" s="9">
        <v>0</v>
      </c>
      <c r="H78" s="9">
        <v>0</v>
      </c>
      <c r="I78" s="9">
        <v>20174.71</v>
      </c>
      <c r="J78" s="9">
        <v>0</v>
      </c>
      <c r="K78" s="9">
        <v>319.57</v>
      </c>
      <c r="L78" s="27">
        <v>1471.9499999999998</v>
      </c>
    </row>
    <row r="79" spans="1:12" x14ac:dyDescent="0.25">
      <c r="A79" s="35"/>
      <c r="B79" s="34" t="s">
        <v>75</v>
      </c>
      <c r="C79" s="26">
        <v>19337.780000000002</v>
      </c>
      <c r="D79" s="38">
        <v>19337.780000000002</v>
      </c>
      <c r="E79" s="9">
        <v>773.52</v>
      </c>
      <c r="F79" s="9">
        <v>0</v>
      </c>
      <c r="G79" s="9">
        <v>0</v>
      </c>
      <c r="H79" s="9">
        <v>0</v>
      </c>
      <c r="I79" s="9">
        <v>19337.780000000002</v>
      </c>
      <c r="J79" s="9">
        <v>0</v>
      </c>
      <c r="K79" s="9">
        <v>306.32</v>
      </c>
      <c r="L79" s="27">
        <v>1410.88</v>
      </c>
    </row>
    <row r="80" spans="1:12" x14ac:dyDescent="0.25">
      <c r="A80" s="35"/>
      <c r="B80" s="34" t="s">
        <v>368</v>
      </c>
      <c r="C80" s="26">
        <v>18778.5</v>
      </c>
      <c r="D80" s="38">
        <v>18778.5</v>
      </c>
      <c r="E80" s="9">
        <v>751.14</v>
      </c>
      <c r="F80" s="9">
        <v>0</v>
      </c>
      <c r="G80" s="9">
        <v>0</v>
      </c>
      <c r="H80" s="9">
        <v>0</v>
      </c>
      <c r="I80" s="9">
        <v>18778.5</v>
      </c>
      <c r="J80" s="9">
        <v>0</v>
      </c>
      <c r="K80" s="9">
        <v>297.45</v>
      </c>
      <c r="L80" s="27">
        <v>1370.08</v>
      </c>
    </row>
    <row r="81" spans="1:12" x14ac:dyDescent="0.25">
      <c r="A81" s="35"/>
      <c r="B81" s="34" t="s">
        <v>150</v>
      </c>
      <c r="C81" s="26">
        <v>18464.57</v>
      </c>
      <c r="D81" s="38">
        <v>18464.57</v>
      </c>
      <c r="E81" s="9">
        <v>738.59</v>
      </c>
      <c r="F81" s="9">
        <v>0</v>
      </c>
      <c r="G81" s="9">
        <v>0</v>
      </c>
      <c r="H81" s="9">
        <v>0</v>
      </c>
      <c r="I81" s="9">
        <v>18464.57</v>
      </c>
      <c r="J81" s="9">
        <v>0</v>
      </c>
      <c r="K81" s="9">
        <v>292.47000000000003</v>
      </c>
      <c r="L81" s="27">
        <v>1347.1599999999999</v>
      </c>
    </row>
    <row r="82" spans="1:12" x14ac:dyDescent="0.25">
      <c r="A82" s="35"/>
      <c r="B82" s="34" t="s">
        <v>142</v>
      </c>
      <c r="C82" s="26">
        <v>17820.03</v>
      </c>
      <c r="D82" s="38">
        <v>17820.03</v>
      </c>
      <c r="E82" s="9">
        <v>712.8</v>
      </c>
      <c r="F82" s="9">
        <v>0</v>
      </c>
      <c r="G82" s="9">
        <v>0</v>
      </c>
      <c r="H82" s="9">
        <v>0</v>
      </c>
      <c r="I82" s="9">
        <v>17820.03</v>
      </c>
      <c r="J82" s="9">
        <v>0</v>
      </c>
      <c r="K82" s="9">
        <v>282.27</v>
      </c>
      <c r="L82" s="27">
        <v>1300.1400000000001</v>
      </c>
    </row>
    <row r="83" spans="1:12" x14ac:dyDescent="0.25">
      <c r="A83" s="35"/>
      <c r="B83" s="34" t="s">
        <v>272</v>
      </c>
      <c r="C83" s="26">
        <v>17697.670000000002</v>
      </c>
      <c r="D83" s="38">
        <v>17697.670000000002</v>
      </c>
      <c r="E83" s="9">
        <v>707.91</v>
      </c>
      <c r="F83" s="9">
        <v>0</v>
      </c>
      <c r="G83" s="9">
        <v>0</v>
      </c>
      <c r="H83" s="9">
        <v>0</v>
      </c>
      <c r="I83" s="9">
        <v>17697.670000000002</v>
      </c>
      <c r="J83" s="9">
        <v>0</v>
      </c>
      <c r="K83" s="9">
        <v>280.33</v>
      </c>
      <c r="L83" s="27">
        <v>1291.22</v>
      </c>
    </row>
    <row r="84" spans="1:12" x14ac:dyDescent="0.25">
      <c r="A84" s="35"/>
      <c r="B84" s="34" t="s">
        <v>80</v>
      </c>
      <c r="C84" s="26">
        <v>17661.2</v>
      </c>
      <c r="D84" s="38">
        <v>17661.2</v>
      </c>
      <c r="E84" s="9">
        <v>706.45</v>
      </c>
      <c r="F84" s="9">
        <v>0</v>
      </c>
      <c r="G84" s="9">
        <v>0</v>
      </c>
      <c r="H84" s="9">
        <v>0</v>
      </c>
      <c r="I84" s="9">
        <v>17661.2</v>
      </c>
      <c r="J84" s="9">
        <v>0</v>
      </c>
      <c r="K84" s="9">
        <v>279.76</v>
      </c>
      <c r="L84" s="27">
        <v>1288.56</v>
      </c>
    </row>
    <row r="85" spans="1:12" x14ac:dyDescent="0.25">
      <c r="A85" s="35"/>
      <c r="B85" s="34" t="s">
        <v>163</v>
      </c>
      <c r="C85" s="26">
        <v>17589.66</v>
      </c>
      <c r="D85" s="38">
        <v>17589.66</v>
      </c>
      <c r="E85" s="9">
        <v>703.59999999999991</v>
      </c>
      <c r="F85" s="9">
        <v>0</v>
      </c>
      <c r="G85" s="9">
        <v>0</v>
      </c>
      <c r="H85" s="9">
        <v>0</v>
      </c>
      <c r="I85" s="9">
        <v>17589.66</v>
      </c>
      <c r="J85" s="9">
        <v>0</v>
      </c>
      <c r="K85" s="9">
        <v>278.61</v>
      </c>
      <c r="L85" s="27">
        <v>1283.3399999999999</v>
      </c>
    </row>
    <row r="86" spans="1:12" x14ac:dyDescent="0.25">
      <c r="A86" s="35"/>
      <c r="B86" s="34" t="s">
        <v>344</v>
      </c>
      <c r="C86" s="26">
        <v>16795.8</v>
      </c>
      <c r="D86" s="38">
        <v>16795.8</v>
      </c>
      <c r="E86" s="9">
        <v>671.83</v>
      </c>
      <c r="F86" s="9">
        <v>0</v>
      </c>
      <c r="G86" s="9">
        <v>0</v>
      </c>
      <c r="H86" s="9">
        <v>0</v>
      </c>
      <c r="I86" s="9">
        <v>16795.8</v>
      </c>
      <c r="J86" s="9">
        <v>0</v>
      </c>
      <c r="K86" s="9">
        <v>266.04000000000002</v>
      </c>
      <c r="L86" s="27">
        <v>1225.44</v>
      </c>
    </row>
    <row r="87" spans="1:12" x14ac:dyDescent="0.25">
      <c r="A87" s="35"/>
      <c r="B87" s="34" t="s">
        <v>342</v>
      </c>
      <c r="C87" s="26">
        <v>16730.45</v>
      </c>
      <c r="D87" s="38">
        <v>16730.45</v>
      </c>
      <c r="E87" s="9">
        <v>669.22</v>
      </c>
      <c r="F87" s="9">
        <v>0</v>
      </c>
      <c r="G87" s="9">
        <v>0</v>
      </c>
      <c r="H87" s="9">
        <v>0</v>
      </c>
      <c r="I87" s="9">
        <v>16730.45</v>
      </c>
      <c r="J87" s="9">
        <v>0</v>
      </c>
      <c r="K87" s="9">
        <v>265.01</v>
      </c>
      <c r="L87" s="27">
        <v>1220.6500000000001</v>
      </c>
    </row>
    <row r="88" spans="1:12" x14ac:dyDescent="0.25">
      <c r="A88" s="35"/>
      <c r="B88" s="34" t="s">
        <v>161</v>
      </c>
      <c r="C88" s="26">
        <v>16264.47</v>
      </c>
      <c r="D88" s="38">
        <v>16264.47</v>
      </c>
      <c r="E88" s="9">
        <v>650.58000000000004</v>
      </c>
      <c r="F88" s="9">
        <v>0</v>
      </c>
      <c r="G88" s="9">
        <v>0</v>
      </c>
      <c r="H88" s="9">
        <v>0</v>
      </c>
      <c r="I88" s="9">
        <v>16264.47</v>
      </c>
      <c r="J88" s="9">
        <v>0</v>
      </c>
      <c r="K88" s="9">
        <v>257.63</v>
      </c>
      <c r="L88" s="27">
        <v>1186.6600000000001</v>
      </c>
    </row>
    <row r="89" spans="1:12" x14ac:dyDescent="0.25">
      <c r="A89" s="35"/>
      <c r="B89" s="34" t="s">
        <v>201</v>
      </c>
      <c r="C89" s="26">
        <v>5391.1</v>
      </c>
      <c r="D89" s="38">
        <v>5391.1</v>
      </c>
      <c r="E89" s="9">
        <v>646.92999999999995</v>
      </c>
      <c r="F89" s="9">
        <v>0</v>
      </c>
      <c r="G89" s="9">
        <v>0</v>
      </c>
      <c r="H89" s="9">
        <v>0</v>
      </c>
      <c r="I89" s="9">
        <v>5391.1</v>
      </c>
      <c r="J89" s="9">
        <v>0</v>
      </c>
      <c r="K89" s="9">
        <v>78.28</v>
      </c>
      <c r="L89" s="27">
        <v>360.55</v>
      </c>
    </row>
    <row r="90" spans="1:12" x14ac:dyDescent="0.25">
      <c r="A90" s="35"/>
      <c r="B90" s="34" t="s">
        <v>216</v>
      </c>
      <c r="C90" s="26">
        <v>16103.64</v>
      </c>
      <c r="D90" s="38">
        <v>16103.64</v>
      </c>
      <c r="E90" s="9">
        <v>644.15</v>
      </c>
      <c r="F90" s="9">
        <v>0</v>
      </c>
      <c r="G90" s="9">
        <v>0</v>
      </c>
      <c r="H90" s="9">
        <v>0</v>
      </c>
      <c r="I90" s="9">
        <v>16103.64</v>
      </c>
      <c r="J90" s="9">
        <v>0</v>
      </c>
      <c r="K90" s="9">
        <v>255.08</v>
      </c>
      <c r="L90" s="27">
        <v>1174.92</v>
      </c>
    </row>
    <row r="91" spans="1:12" x14ac:dyDescent="0.25">
      <c r="A91" s="35"/>
      <c r="B91" s="34" t="s">
        <v>120</v>
      </c>
      <c r="C91" s="26">
        <v>16086.8</v>
      </c>
      <c r="D91" s="38">
        <v>16086.8</v>
      </c>
      <c r="E91" s="9">
        <v>643.47</v>
      </c>
      <c r="F91" s="9">
        <v>0</v>
      </c>
      <c r="G91" s="9">
        <v>0</v>
      </c>
      <c r="H91" s="9">
        <v>0</v>
      </c>
      <c r="I91" s="9">
        <v>16086.8</v>
      </c>
      <c r="J91" s="9">
        <v>0</v>
      </c>
      <c r="K91" s="9">
        <v>254.81</v>
      </c>
      <c r="L91" s="27">
        <v>1173.7</v>
      </c>
    </row>
    <row r="92" spans="1:12" x14ac:dyDescent="0.25">
      <c r="A92" s="35"/>
      <c r="B92" s="34" t="s">
        <v>225</v>
      </c>
      <c r="C92" s="26">
        <v>15606.56</v>
      </c>
      <c r="D92" s="38">
        <v>15606.56</v>
      </c>
      <c r="E92" s="9">
        <v>624.26</v>
      </c>
      <c r="F92" s="9">
        <v>0</v>
      </c>
      <c r="G92" s="9">
        <v>0</v>
      </c>
      <c r="H92" s="9">
        <v>0</v>
      </c>
      <c r="I92" s="9">
        <v>15606.56</v>
      </c>
      <c r="J92" s="9">
        <v>0</v>
      </c>
      <c r="K92" s="9">
        <v>247.21</v>
      </c>
      <c r="L92" s="27">
        <v>1138.6500000000001</v>
      </c>
    </row>
    <row r="93" spans="1:12" x14ac:dyDescent="0.25">
      <c r="A93" s="35"/>
      <c r="B93" s="34" t="s">
        <v>177</v>
      </c>
      <c r="C93" s="26">
        <v>15020.25</v>
      </c>
      <c r="D93" s="38">
        <v>15020.25</v>
      </c>
      <c r="E93" s="9">
        <v>600.82000000000005</v>
      </c>
      <c r="F93" s="9">
        <v>0</v>
      </c>
      <c r="G93" s="9">
        <v>0</v>
      </c>
      <c r="H93" s="9">
        <v>0</v>
      </c>
      <c r="I93" s="9">
        <v>15020.25</v>
      </c>
      <c r="J93" s="9">
        <v>0</v>
      </c>
      <c r="K93" s="9">
        <v>242.2</v>
      </c>
      <c r="L93" s="27">
        <v>1115.6200000000001</v>
      </c>
    </row>
    <row r="94" spans="1:12" x14ac:dyDescent="0.25">
      <c r="A94" s="35"/>
      <c r="B94" s="34" t="s">
        <v>212</v>
      </c>
      <c r="C94" s="26">
        <v>4951</v>
      </c>
      <c r="D94" s="38">
        <v>4951</v>
      </c>
      <c r="E94" s="9">
        <v>594.12</v>
      </c>
      <c r="F94" s="9">
        <v>0</v>
      </c>
      <c r="G94" s="9">
        <v>0</v>
      </c>
      <c r="H94" s="9">
        <v>0</v>
      </c>
      <c r="I94" s="9">
        <v>4951</v>
      </c>
      <c r="J94" s="9">
        <v>0</v>
      </c>
      <c r="K94" s="9">
        <v>71.89</v>
      </c>
      <c r="L94" s="27">
        <v>331.12</v>
      </c>
    </row>
    <row r="95" spans="1:12" x14ac:dyDescent="0.25">
      <c r="A95" s="35"/>
      <c r="B95" s="34" t="s">
        <v>149</v>
      </c>
      <c r="C95" s="26">
        <v>14804.4</v>
      </c>
      <c r="D95" s="38">
        <v>14804.4</v>
      </c>
      <c r="E95" s="9">
        <v>592.17999999999995</v>
      </c>
      <c r="F95" s="9">
        <v>0</v>
      </c>
      <c r="G95" s="9">
        <v>0</v>
      </c>
      <c r="H95" s="9">
        <v>0</v>
      </c>
      <c r="I95" s="9">
        <v>14804.4</v>
      </c>
      <c r="J95" s="9">
        <v>0</v>
      </c>
      <c r="K95" s="9">
        <v>234.5</v>
      </c>
      <c r="L95" s="27">
        <v>1080.1300000000001</v>
      </c>
    </row>
    <row r="96" spans="1:12" x14ac:dyDescent="0.25">
      <c r="A96" s="35"/>
      <c r="B96" s="34" t="s">
        <v>361</v>
      </c>
      <c r="C96" s="26">
        <v>14451.4</v>
      </c>
      <c r="D96" s="38">
        <v>14451.4</v>
      </c>
      <c r="E96" s="9">
        <v>578.05999999999995</v>
      </c>
      <c r="F96" s="9">
        <v>0</v>
      </c>
      <c r="G96" s="9">
        <v>0</v>
      </c>
      <c r="H96" s="9">
        <v>0</v>
      </c>
      <c r="I96" s="9">
        <v>14451.4</v>
      </c>
      <c r="J96" s="9">
        <v>0</v>
      </c>
      <c r="K96" s="9">
        <v>228.91</v>
      </c>
      <c r="L96" s="27">
        <v>1054.3800000000001</v>
      </c>
    </row>
    <row r="97" spans="1:12" x14ac:dyDescent="0.25">
      <c r="A97" s="35"/>
      <c r="B97" s="34" t="s">
        <v>134</v>
      </c>
      <c r="C97" s="26">
        <v>14406.74</v>
      </c>
      <c r="D97" s="38">
        <v>14406.74</v>
      </c>
      <c r="E97" s="9">
        <v>576.27</v>
      </c>
      <c r="F97" s="9">
        <v>0</v>
      </c>
      <c r="G97" s="9">
        <v>0</v>
      </c>
      <c r="H97" s="9">
        <v>0</v>
      </c>
      <c r="I97" s="9">
        <v>14406.74</v>
      </c>
      <c r="J97" s="9">
        <v>0</v>
      </c>
      <c r="K97" s="9">
        <v>228.21</v>
      </c>
      <c r="L97" s="27">
        <v>1051.1199999999999</v>
      </c>
    </row>
    <row r="98" spans="1:12" x14ac:dyDescent="0.25">
      <c r="A98" s="35"/>
      <c r="B98" s="34" t="s">
        <v>211</v>
      </c>
      <c r="C98" s="26">
        <v>14217.35</v>
      </c>
      <c r="D98" s="38">
        <v>14217.35</v>
      </c>
      <c r="E98" s="9">
        <v>568.69000000000005</v>
      </c>
      <c r="F98" s="9">
        <v>0</v>
      </c>
      <c r="G98" s="9">
        <v>0</v>
      </c>
      <c r="H98" s="9">
        <v>0</v>
      </c>
      <c r="I98" s="9">
        <v>14217.35</v>
      </c>
      <c r="J98" s="9">
        <v>0</v>
      </c>
      <c r="K98" s="9">
        <v>225.2</v>
      </c>
      <c r="L98" s="27">
        <v>1037.3</v>
      </c>
    </row>
    <row r="99" spans="1:12" x14ac:dyDescent="0.25">
      <c r="A99" s="35"/>
      <c r="B99" s="34" t="s">
        <v>196</v>
      </c>
      <c r="C99" s="26">
        <v>14403.37</v>
      </c>
      <c r="D99" s="38">
        <v>13950</v>
      </c>
      <c r="E99" s="9">
        <v>558</v>
      </c>
      <c r="F99" s="9">
        <v>0</v>
      </c>
      <c r="G99" s="9">
        <v>0</v>
      </c>
      <c r="H99" s="9">
        <v>453.37</v>
      </c>
      <c r="I99" s="9">
        <v>0</v>
      </c>
      <c r="J99" s="9">
        <v>0</v>
      </c>
      <c r="K99" s="9">
        <v>220.97</v>
      </c>
      <c r="L99" s="27">
        <v>1017.8</v>
      </c>
    </row>
    <row r="100" spans="1:12" x14ac:dyDescent="0.25">
      <c r="A100" s="35"/>
      <c r="B100" s="34" t="s">
        <v>268</v>
      </c>
      <c r="C100" s="26">
        <v>13629.75</v>
      </c>
      <c r="D100" s="38">
        <v>13629.75</v>
      </c>
      <c r="E100" s="9">
        <v>545.19000000000005</v>
      </c>
      <c r="F100" s="9">
        <v>0</v>
      </c>
      <c r="G100" s="9">
        <v>0</v>
      </c>
      <c r="H100" s="9">
        <v>0</v>
      </c>
      <c r="I100" s="9">
        <v>13629.75</v>
      </c>
      <c r="J100" s="9">
        <v>0</v>
      </c>
      <c r="K100" s="9">
        <v>215.9</v>
      </c>
      <c r="L100" s="27">
        <v>994.43</v>
      </c>
    </row>
    <row r="101" spans="1:12" x14ac:dyDescent="0.25">
      <c r="A101" s="35"/>
      <c r="B101" s="34" t="s">
        <v>156</v>
      </c>
      <c r="C101" s="26">
        <v>13475.56</v>
      </c>
      <c r="D101" s="38">
        <v>13475.56</v>
      </c>
      <c r="E101" s="9">
        <v>539.02</v>
      </c>
      <c r="F101" s="9">
        <v>0</v>
      </c>
      <c r="G101" s="9">
        <v>0</v>
      </c>
      <c r="H101" s="9">
        <v>0</v>
      </c>
      <c r="I101" s="9">
        <v>13475.56</v>
      </c>
      <c r="J101" s="9">
        <v>0</v>
      </c>
      <c r="K101" s="9">
        <v>213.45</v>
      </c>
      <c r="L101" s="27">
        <v>983.17</v>
      </c>
    </row>
    <row r="102" spans="1:12" x14ac:dyDescent="0.25">
      <c r="A102" s="35"/>
      <c r="B102" s="34" t="s">
        <v>260</v>
      </c>
      <c r="C102" s="26">
        <v>13469.32</v>
      </c>
      <c r="D102" s="38">
        <v>13469.32</v>
      </c>
      <c r="E102" s="9">
        <v>538.77</v>
      </c>
      <c r="F102" s="9">
        <v>0</v>
      </c>
      <c r="G102" s="9">
        <v>0</v>
      </c>
      <c r="H102" s="9">
        <v>0</v>
      </c>
      <c r="I102" s="9">
        <v>13469.32</v>
      </c>
      <c r="J102" s="9">
        <v>0</v>
      </c>
      <c r="K102" s="9">
        <v>213.35</v>
      </c>
      <c r="L102" s="27">
        <v>982.72</v>
      </c>
    </row>
    <row r="103" spans="1:12" x14ac:dyDescent="0.25">
      <c r="A103" s="35"/>
      <c r="B103" s="34" t="s">
        <v>311</v>
      </c>
      <c r="C103" s="26">
        <v>13433.6</v>
      </c>
      <c r="D103" s="38">
        <v>13433.6</v>
      </c>
      <c r="E103" s="9">
        <v>537.34</v>
      </c>
      <c r="F103" s="9">
        <v>0</v>
      </c>
      <c r="G103" s="9">
        <v>0</v>
      </c>
      <c r="H103" s="9">
        <v>0</v>
      </c>
      <c r="I103" s="9">
        <v>13433.6</v>
      </c>
      <c r="J103" s="9">
        <v>0</v>
      </c>
      <c r="K103" s="9">
        <v>212.78</v>
      </c>
      <c r="L103" s="27">
        <v>980.12</v>
      </c>
    </row>
    <row r="104" spans="1:12" x14ac:dyDescent="0.25">
      <c r="A104" s="35"/>
      <c r="B104" s="34" t="s">
        <v>188</v>
      </c>
      <c r="C104" s="26">
        <v>13014.75</v>
      </c>
      <c r="D104" s="38">
        <v>13014.75</v>
      </c>
      <c r="E104" s="9">
        <v>520.59</v>
      </c>
      <c r="F104" s="9">
        <v>0</v>
      </c>
      <c r="G104" s="9">
        <v>0</v>
      </c>
      <c r="H104" s="9">
        <v>0</v>
      </c>
      <c r="I104" s="9">
        <v>13014.75</v>
      </c>
      <c r="J104" s="9">
        <v>0</v>
      </c>
      <c r="K104" s="9">
        <v>206.15</v>
      </c>
      <c r="L104" s="27">
        <v>949.55</v>
      </c>
    </row>
    <row r="105" spans="1:12" x14ac:dyDescent="0.25">
      <c r="A105" s="35"/>
      <c r="B105" s="34" t="s">
        <v>259</v>
      </c>
      <c r="C105" s="26">
        <v>12336.580000000002</v>
      </c>
      <c r="D105" s="38">
        <v>12336.580000000002</v>
      </c>
      <c r="E105" s="9">
        <v>493.46000000000004</v>
      </c>
      <c r="F105" s="9">
        <v>0</v>
      </c>
      <c r="G105" s="9">
        <v>0</v>
      </c>
      <c r="H105" s="9">
        <v>0</v>
      </c>
      <c r="I105" s="9">
        <v>12336.580000000002</v>
      </c>
      <c r="J105" s="9">
        <v>0</v>
      </c>
      <c r="K105" s="9">
        <v>195.42000000000002</v>
      </c>
      <c r="L105" s="27">
        <v>900.09</v>
      </c>
    </row>
    <row r="106" spans="1:12" x14ac:dyDescent="0.25">
      <c r="A106" s="35"/>
      <c r="B106" s="34" t="s">
        <v>246</v>
      </c>
      <c r="C106" s="26">
        <v>12240.67</v>
      </c>
      <c r="D106" s="38">
        <v>12240.67</v>
      </c>
      <c r="E106" s="9">
        <v>489.63</v>
      </c>
      <c r="F106" s="9">
        <v>0</v>
      </c>
      <c r="G106" s="9">
        <v>0</v>
      </c>
      <c r="H106" s="9">
        <v>0</v>
      </c>
      <c r="I106" s="9">
        <v>12240.67</v>
      </c>
      <c r="J106" s="9">
        <v>0</v>
      </c>
      <c r="K106" s="9">
        <v>193.89</v>
      </c>
      <c r="L106" s="27">
        <v>893.08</v>
      </c>
    </row>
    <row r="107" spans="1:12" x14ac:dyDescent="0.25">
      <c r="A107" s="35"/>
      <c r="B107" s="34" t="s">
        <v>291</v>
      </c>
      <c r="C107" s="26">
        <v>3884.66</v>
      </c>
      <c r="D107" s="38">
        <v>3884.66</v>
      </c>
      <c r="E107" s="9">
        <v>466.16</v>
      </c>
      <c r="F107" s="9">
        <v>0</v>
      </c>
      <c r="G107" s="9">
        <v>0</v>
      </c>
      <c r="H107" s="9">
        <v>0</v>
      </c>
      <c r="I107" s="9">
        <v>3884.66</v>
      </c>
      <c r="J107" s="9">
        <v>0</v>
      </c>
      <c r="K107" s="9">
        <v>56.4</v>
      </c>
      <c r="L107" s="27">
        <v>259.8</v>
      </c>
    </row>
    <row r="108" spans="1:12" x14ac:dyDescent="0.25">
      <c r="A108" s="35"/>
      <c r="B108" s="34" t="s">
        <v>228</v>
      </c>
      <c r="C108" s="26">
        <v>11647.5</v>
      </c>
      <c r="D108" s="38">
        <v>11647.5</v>
      </c>
      <c r="E108" s="9">
        <v>465.9</v>
      </c>
      <c r="F108" s="9">
        <v>0</v>
      </c>
      <c r="G108" s="9">
        <v>0</v>
      </c>
      <c r="H108" s="9">
        <v>0</v>
      </c>
      <c r="I108" s="9">
        <v>11647.5</v>
      </c>
      <c r="J108" s="9">
        <v>0</v>
      </c>
      <c r="K108" s="9">
        <v>184.49</v>
      </c>
      <c r="L108" s="27">
        <v>849.81</v>
      </c>
    </row>
    <row r="109" spans="1:12" x14ac:dyDescent="0.25">
      <c r="A109" s="35"/>
      <c r="B109" s="34" t="s">
        <v>190</v>
      </c>
      <c r="C109" s="26">
        <v>11629.35</v>
      </c>
      <c r="D109" s="38">
        <v>11629.35</v>
      </c>
      <c r="E109" s="9">
        <v>465.17</v>
      </c>
      <c r="F109" s="9">
        <v>0</v>
      </c>
      <c r="G109" s="9">
        <v>0</v>
      </c>
      <c r="H109" s="9">
        <v>0</v>
      </c>
      <c r="I109" s="9">
        <v>11629.35</v>
      </c>
      <c r="J109" s="9">
        <v>0</v>
      </c>
      <c r="K109" s="9">
        <v>184.22</v>
      </c>
      <c r="L109" s="27">
        <v>848.48</v>
      </c>
    </row>
    <row r="110" spans="1:12" x14ac:dyDescent="0.25">
      <c r="A110" s="35"/>
      <c r="B110" s="34" t="s">
        <v>345</v>
      </c>
      <c r="C110" s="26">
        <v>11473.35</v>
      </c>
      <c r="D110" s="38">
        <v>11473.35</v>
      </c>
      <c r="E110" s="9">
        <v>458.93</v>
      </c>
      <c r="F110" s="9">
        <v>0</v>
      </c>
      <c r="G110" s="9">
        <v>0</v>
      </c>
      <c r="H110" s="9">
        <v>0</v>
      </c>
      <c r="I110" s="9">
        <v>11473.35</v>
      </c>
      <c r="J110" s="9">
        <v>0</v>
      </c>
      <c r="K110" s="9">
        <v>181.73</v>
      </c>
      <c r="L110" s="27">
        <v>837.09</v>
      </c>
    </row>
    <row r="111" spans="1:12" x14ac:dyDescent="0.25">
      <c r="A111" s="35"/>
      <c r="B111" s="34" t="s">
        <v>104</v>
      </c>
      <c r="C111" s="26">
        <v>11359.56</v>
      </c>
      <c r="D111" s="38">
        <v>11359.56</v>
      </c>
      <c r="E111" s="9">
        <v>454.38</v>
      </c>
      <c r="F111" s="9">
        <v>0</v>
      </c>
      <c r="G111" s="9">
        <v>0</v>
      </c>
      <c r="H111" s="9">
        <v>0</v>
      </c>
      <c r="I111" s="9">
        <v>11359.56</v>
      </c>
      <c r="J111" s="9">
        <v>0</v>
      </c>
      <c r="K111" s="9">
        <v>179.94</v>
      </c>
      <c r="L111" s="27">
        <v>828.79</v>
      </c>
    </row>
    <row r="112" spans="1:12" x14ac:dyDescent="0.25">
      <c r="A112" s="35"/>
      <c r="B112" s="34" t="s">
        <v>236</v>
      </c>
      <c r="C112" s="26">
        <v>11293.04</v>
      </c>
      <c r="D112" s="38">
        <v>11293.04</v>
      </c>
      <c r="E112" s="9">
        <v>451.72</v>
      </c>
      <c r="F112" s="9">
        <v>0</v>
      </c>
      <c r="G112" s="9">
        <v>0</v>
      </c>
      <c r="H112" s="9">
        <v>0</v>
      </c>
      <c r="I112" s="9">
        <v>11293.04</v>
      </c>
      <c r="J112" s="9">
        <v>0</v>
      </c>
      <c r="K112" s="9">
        <v>178.87</v>
      </c>
      <c r="L112" s="27">
        <v>823.94</v>
      </c>
    </row>
    <row r="113" spans="1:12" x14ac:dyDescent="0.25">
      <c r="A113" s="35"/>
      <c r="B113" s="34" t="s">
        <v>356</v>
      </c>
      <c r="C113" s="26">
        <v>3856.38</v>
      </c>
      <c r="D113" s="38">
        <v>3735</v>
      </c>
      <c r="E113" s="9">
        <v>448.2</v>
      </c>
      <c r="F113" s="9">
        <v>0</v>
      </c>
      <c r="G113" s="9">
        <v>0</v>
      </c>
      <c r="H113" s="9">
        <v>121.38</v>
      </c>
      <c r="I113" s="9">
        <v>0</v>
      </c>
      <c r="J113" s="9">
        <v>0</v>
      </c>
      <c r="K113" s="9">
        <v>54.23</v>
      </c>
      <c r="L113" s="27">
        <v>249.8</v>
      </c>
    </row>
    <row r="114" spans="1:12" x14ac:dyDescent="0.25">
      <c r="A114" s="35"/>
      <c r="B114" s="34" t="s">
        <v>296</v>
      </c>
      <c r="C114" s="26">
        <v>10840.5</v>
      </c>
      <c r="D114" s="38">
        <v>10840.5</v>
      </c>
      <c r="E114" s="9">
        <v>433.62</v>
      </c>
      <c r="F114" s="9">
        <v>0</v>
      </c>
      <c r="G114" s="9">
        <v>0</v>
      </c>
      <c r="H114" s="9">
        <v>0</v>
      </c>
      <c r="I114" s="9">
        <v>10840.5</v>
      </c>
      <c r="J114" s="9">
        <v>0</v>
      </c>
      <c r="K114" s="9">
        <v>171.72</v>
      </c>
      <c r="L114" s="27">
        <v>790.93</v>
      </c>
    </row>
    <row r="115" spans="1:12" x14ac:dyDescent="0.25">
      <c r="A115" s="35"/>
      <c r="B115" s="34" t="s">
        <v>281</v>
      </c>
      <c r="C115" s="26">
        <v>3587.93</v>
      </c>
      <c r="D115" s="38">
        <v>3475</v>
      </c>
      <c r="E115" s="9">
        <v>417</v>
      </c>
      <c r="F115" s="9">
        <v>0</v>
      </c>
      <c r="G115" s="9">
        <v>0</v>
      </c>
      <c r="H115" s="9">
        <v>112.93</v>
      </c>
      <c r="I115" s="9">
        <v>0</v>
      </c>
      <c r="J115" s="9">
        <v>0</v>
      </c>
      <c r="K115" s="9">
        <v>50.46</v>
      </c>
      <c r="L115" s="27">
        <v>232.41</v>
      </c>
    </row>
    <row r="116" spans="1:12" x14ac:dyDescent="0.25">
      <c r="A116" s="35"/>
      <c r="B116" s="34" t="s">
        <v>204</v>
      </c>
      <c r="C116" s="26">
        <v>10174.049999999999</v>
      </c>
      <c r="D116" s="38">
        <v>10174.049999999999</v>
      </c>
      <c r="E116" s="9">
        <v>406.96</v>
      </c>
      <c r="F116" s="9">
        <v>0</v>
      </c>
      <c r="G116" s="9">
        <v>0</v>
      </c>
      <c r="H116" s="9">
        <v>0</v>
      </c>
      <c r="I116" s="9">
        <v>10174.049999999999</v>
      </c>
      <c r="J116" s="9">
        <v>0</v>
      </c>
      <c r="K116" s="9">
        <v>161.16</v>
      </c>
      <c r="L116" s="27">
        <v>742.3</v>
      </c>
    </row>
    <row r="117" spans="1:12" x14ac:dyDescent="0.25">
      <c r="A117" s="35"/>
      <c r="B117" s="34" t="s">
        <v>273</v>
      </c>
      <c r="C117" s="26">
        <v>10125.91</v>
      </c>
      <c r="D117" s="38">
        <v>10125.91</v>
      </c>
      <c r="E117" s="9">
        <v>405.04</v>
      </c>
      <c r="F117" s="9">
        <v>0</v>
      </c>
      <c r="G117" s="9">
        <v>0</v>
      </c>
      <c r="H117" s="9">
        <v>0</v>
      </c>
      <c r="I117" s="9">
        <v>10125.91</v>
      </c>
      <c r="J117" s="9">
        <v>0</v>
      </c>
      <c r="K117" s="9">
        <v>160.38999999999999</v>
      </c>
      <c r="L117" s="27">
        <v>738.79</v>
      </c>
    </row>
    <row r="118" spans="1:12" x14ac:dyDescent="0.25">
      <c r="A118" s="35"/>
      <c r="B118" s="34" t="s">
        <v>247</v>
      </c>
      <c r="C118" s="26">
        <v>10322.529999999999</v>
      </c>
      <c r="D118" s="38">
        <v>10126</v>
      </c>
      <c r="E118" s="9">
        <v>405.03999999999996</v>
      </c>
      <c r="F118" s="9">
        <v>0</v>
      </c>
      <c r="G118" s="9">
        <v>0</v>
      </c>
      <c r="H118" s="9">
        <v>196.53</v>
      </c>
      <c r="I118" s="9">
        <v>4078.5</v>
      </c>
      <c r="J118" s="9">
        <v>0</v>
      </c>
      <c r="K118" s="9">
        <v>160.38999999999999</v>
      </c>
      <c r="L118" s="27">
        <v>738.81000000000006</v>
      </c>
    </row>
    <row r="119" spans="1:12" x14ac:dyDescent="0.25">
      <c r="A119" s="35"/>
      <c r="B119" s="34" t="s">
        <v>118</v>
      </c>
      <c r="C119" s="26">
        <v>9844.11</v>
      </c>
      <c r="D119" s="38">
        <v>9844.11</v>
      </c>
      <c r="E119" s="9">
        <v>393.76</v>
      </c>
      <c r="F119" s="9">
        <v>0</v>
      </c>
      <c r="G119" s="9">
        <v>0</v>
      </c>
      <c r="H119" s="9">
        <v>0</v>
      </c>
      <c r="I119" s="9">
        <v>14063.02</v>
      </c>
      <c r="J119" s="9">
        <v>0</v>
      </c>
      <c r="K119" s="9">
        <v>155.93</v>
      </c>
      <c r="L119" s="27">
        <v>718.23</v>
      </c>
    </row>
    <row r="120" spans="1:12" x14ac:dyDescent="0.25">
      <c r="A120" s="35"/>
      <c r="B120" s="34" t="s">
        <v>292</v>
      </c>
      <c r="C120" s="26">
        <v>9684.15</v>
      </c>
      <c r="D120" s="38">
        <v>9684.15</v>
      </c>
      <c r="E120" s="9">
        <v>387.37</v>
      </c>
      <c r="F120" s="9">
        <v>0</v>
      </c>
      <c r="G120" s="9">
        <v>0</v>
      </c>
      <c r="H120" s="9">
        <v>0</v>
      </c>
      <c r="I120" s="9">
        <v>9684.15</v>
      </c>
      <c r="J120" s="9">
        <v>0</v>
      </c>
      <c r="K120" s="9">
        <v>153.4</v>
      </c>
      <c r="L120" s="27">
        <v>706.56</v>
      </c>
    </row>
    <row r="121" spans="1:12" x14ac:dyDescent="0.25">
      <c r="A121" s="35"/>
      <c r="B121" s="34" t="s">
        <v>297</v>
      </c>
      <c r="C121" s="26">
        <v>9651.2999999999993</v>
      </c>
      <c r="D121" s="38">
        <v>9651.2999999999993</v>
      </c>
      <c r="E121" s="9">
        <v>386.05</v>
      </c>
      <c r="F121" s="9">
        <v>0</v>
      </c>
      <c r="G121" s="9">
        <v>0</v>
      </c>
      <c r="H121" s="9">
        <v>0</v>
      </c>
      <c r="I121" s="9">
        <v>9651.2999999999993</v>
      </c>
      <c r="J121" s="9">
        <v>0</v>
      </c>
      <c r="K121" s="9">
        <v>152.88</v>
      </c>
      <c r="L121" s="27">
        <v>704.16</v>
      </c>
    </row>
    <row r="122" spans="1:12" x14ac:dyDescent="0.25">
      <c r="A122" s="35"/>
      <c r="B122" s="34" t="s">
        <v>160</v>
      </c>
      <c r="C122" s="26">
        <v>9549.9699999999993</v>
      </c>
      <c r="D122" s="38">
        <v>9549.9699999999993</v>
      </c>
      <c r="E122" s="9">
        <v>382</v>
      </c>
      <c r="F122" s="9">
        <v>0</v>
      </c>
      <c r="G122" s="9">
        <v>0</v>
      </c>
      <c r="H122" s="9">
        <v>0</v>
      </c>
      <c r="I122" s="9">
        <v>9549.9699999999993</v>
      </c>
      <c r="J122" s="9">
        <v>0</v>
      </c>
      <c r="K122" s="9">
        <v>151.29</v>
      </c>
      <c r="L122" s="27">
        <v>696.77</v>
      </c>
    </row>
    <row r="123" spans="1:12" x14ac:dyDescent="0.25">
      <c r="A123" s="35"/>
      <c r="B123" s="34" t="s">
        <v>103</v>
      </c>
      <c r="C123" s="26">
        <v>9539.7300000000014</v>
      </c>
      <c r="D123" s="38">
        <v>9539.7300000000014</v>
      </c>
      <c r="E123" s="9">
        <v>381.58</v>
      </c>
      <c r="F123" s="9">
        <v>0</v>
      </c>
      <c r="G123" s="9">
        <v>0</v>
      </c>
      <c r="H123" s="9">
        <v>0</v>
      </c>
      <c r="I123" s="9">
        <v>9539.7300000000014</v>
      </c>
      <c r="J123" s="9">
        <v>0</v>
      </c>
      <c r="K123" s="9">
        <v>151.09</v>
      </c>
      <c r="L123" s="27">
        <v>696.03</v>
      </c>
    </row>
    <row r="124" spans="1:12" x14ac:dyDescent="0.25">
      <c r="A124" s="35"/>
      <c r="B124" s="34" t="s">
        <v>249</v>
      </c>
      <c r="C124" s="26">
        <v>9470.99</v>
      </c>
      <c r="D124" s="38">
        <v>9470.99</v>
      </c>
      <c r="E124" s="9">
        <v>378.84</v>
      </c>
      <c r="F124" s="9">
        <v>0</v>
      </c>
      <c r="G124" s="9">
        <v>0</v>
      </c>
      <c r="H124" s="9">
        <v>0</v>
      </c>
      <c r="I124" s="9">
        <v>9470.99</v>
      </c>
      <c r="J124" s="9">
        <v>0</v>
      </c>
      <c r="K124" s="9">
        <v>150.01</v>
      </c>
      <c r="L124" s="27">
        <v>690.99</v>
      </c>
    </row>
    <row r="125" spans="1:12" x14ac:dyDescent="0.25">
      <c r="A125" s="35"/>
      <c r="B125" s="34" t="s">
        <v>145</v>
      </c>
      <c r="C125" s="26">
        <v>9468.2999999999993</v>
      </c>
      <c r="D125" s="38">
        <v>9468.2999999999993</v>
      </c>
      <c r="E125" s="9">
        <v>378.73</v>
      </c>
      <c r="F125" s="9">
        <v>0</v>
      </c>
      <c r="G125" s="9">
        <v>0</v>
      </c>
      <c r="H125" s="9">
        <v>0</v>
      </c>
      <c r="I125" s="9">
        <v>9468.2999999999993</v>
      </c>
      <c r="J125" s="9">
        <v>0</v>
      </c>
      <c r="K125" s="9">
        <v>149.97</v>
      </c>
      <c r="L125" s="27">
        <v>690.82</v>
      </c>
    </row>
    <row r="126" spans="1:12" x14ac:dyDescent="0.25">
      <c r="A126" s="35"/>
      <c r="B126" s="34" t="s">
        <v>321</v>
      </c>
      <c r="C126" s="26">
        <v>9381.0499999999993</v>
      </c>
      <c r="D126" s="38">
        <v>9381.0499999999993</v>
      </c>
      <c r="E126" s="9">
        <v>375.24</v>
      </c>
      <c r="F126" s="9">
        <v>0</v>
      </c>
      <c r="G126" s="9">
        <v>0</v>
      </c>
      <c r="H126" s="9">
        <v>0</v>
      </c>
      <c r="I126" s="9">
        <v>9381.0499999999993</v>
      </c>
      <c r="J126" s="9">
        <v>0</v>
      </c>
      <c r="K126" s="9">
        <v>148.59</v>
      </c>
      <c r="L126" s="27">
        <v>684.45</v>
      </c>
    </row>
    <row r="127" spans="1:12" x14ac:dyDescent="0.25">
      <c r="A127" s="35"/>
      <c r="B127" s="34" t="s">
        <v>320</v>
      </c>
      <c r="C127" s="26">
        <v>9328.06</v>
      </c>
      <c r="D127" s="38">
        <v>9328.06</v>
      </c>
      <c r="E127" s="9">
        <v>373.12</v>
      </c>
      <c r="F127" s="9">
        <v>0</v>
      </c>
      <c r="G127" s="9">
        <v>0</v>
      </c>
      <c r="H127" s="9">
        <v>0</v>
      </c>
      <c r="I127" s="9">
        <v>9328.06</v>
      </c>
      <c r="J127" s="9">
        <v>0</v>
      </c>
      <c r="K127" s="9">
        <v>147.75</v>
      </c>
      <c r="L127" s="27">
        <v>680.58</v>
      </c>
    </row>
    <row r="128" spans="1:12" x14ac:dyDescent="0.25">
      <c r="A128" s="35"/>
      <c r="B128" s="34" t="s">
        <v>222</v>
      </c>
      <c r="C128" s="26">
        <v>9207.6299999999992</v>
      </c>
      <c r="D128" s="38">
        <v>9207.6299999999992</v>
      </c>
      <c r="E128" s="9">
        <v>368.31</v>
      </c>
      <c r="F128" s="9">
        <v>0</v>
      </c>
      <c r="G128" s="9">
        <v>0</v>
      </c>
      <c r="H128" s="9">
        <v>0</v>
      </c>
      <c r="I128" s="9">
        <v>9207.6299999999992</v>
      </c>
      <c r="J128" s="9">
        <v>0</v>
      </c>
      <c r="K128" s="9">
        <v>145.85</v>
      </c>
      <c r="L128" s="27">
        <v>671.79</v>
      </c>
    </row>
    <row r="129" spans="1:12" x14ac:dyDescent="0.25">
      <c r="A129" s="35"/>
      <c r="B129" s="34" t="s">
        <v>110</v>
      </c>
      <c r="C129" s="26">
        <v>9130.65</v>
      </c>
      <c r="D129" s="38">
        <v>9130.65</v>
      </c>
      <c r="E129" s="9">
        <v>365.23</v>
      </c>
      <c r="F129" s="9">
        <v>0</v>
      </c>
      <c r="G129" s="9">
        <v>0</v>
      </c>
      <c r="H129" s="9">
        <v>0</v>
      </c>
      <c r="I129" s="9">
        <v>9130.65</v>
      </c>
      <c r="J129" s="9">
        <v>0</v>
      </c>
      <c r="K129" s="9">
        <v>144.63</v>
      </c>
      <c r="L129" s="27">
        <v>666.17</v>
      </c>
    </row>
    <row r="130" spans="1:12" x14ac:dyDescent="0.25">
      <c r="A130" s="35"/>
      <c r="B130" s="34" t="s">
        <v>307</v>
      </c>
      <c r="C130" s="26">
        <v>8094.28</v>
      </c>
      <c r="D130" s="38">
        <v>8094.28</v>
      </c>
      <c r="E130" s="9">
        <v>323.77</v>
      </c>
      <c r="F130" s="9">
        <v>0</v>
      </c>
      <c r="G130" s="9">
        <v>0</v>
      </c>
      <c r="H130" s="9">
        <v>0</v>
      </c>
      <c r="I130" s="9">
        <v>8094.28</v>
      </c>
      <c r="J130" s="9">
        <v>0</v>
      </c>
      <c r="K130" s="9">
        <v>128.22</v>
      </c>
      <c r="L130" s="27">
        <v>590.55999999999995</v>
      </c>
    </row>
    <row r="131" spans="1:12" x14ac:dyDescent="0.25">
      <c r="A131" s="35"/>
      <c r="B131" s="34" t="s">
        <v>333</v>
      </c>
      <c r="C131" s="26">
        <v>8063.35</v>
      </c>
      <c r="D131" s="38">
        <v>8063.35</v>
      </c>
      <c r="E131" s="9">
        <v>322.52999999999997</v>
      </c>
      <c r="F131" s="9">
        <v>0</v>
      </c>
      <c r="G131" s="9">
        <v>0</v>
      </c>
      <c r="H131" s="9">
        <v>0</v>
      </c>
      <c r="I131" s="9">
        <v>8063.35</v>
      </c>
      <c r="J131" s="9">
        <v>0</v>
      </c>
      <c r="K131" s="9">
        <v>127.72</v>
      </c>
      <c r="L131" s="27">
        <v>588.29999999999995</v>
      </c>
    </row>
    <row r="132" spans="1:12" x14ac:dyDescent="0.25">
      <c r="A132" s="35"/>
      <c r="B132" s="34" t="s">
        <v>158</v>
      </c>
      <c r="C132" s="26">
        <v>8251.73</v>
      </c>
      <c r="D132" s="38">
        <v>7992</v>
      </c>
      <c r="E132" s="9">
        <v>319.68</v>
      </c>
      <c r="F132" s="9">
        <v>0</v>
      </c>
      <c r="G132" s="9">
        <v>0</v>
      </c>
      <c r="H132" s="9">
        <v>259.73</v>
      </c>
      <c r="I132" s="9">
        <v>0</v>
      </c>
      <c r="J132" s="9">
        <v>0</v>
      </c>
      <c r="K132" s="9">
        <v>126.59</v>
      </c>
      <c r="L132" s="27">
        <v>583.1</v>
      </c>
    </row>
    <row r="133" spans="1:12" x14ac:dyDescent="0.25">
      <c r="A133" s="35"/>
      <c r="B133" s="34" t="s">
        <v>123</v>
      </c>
      <c r="C133" s="26">
        <v>7920.4500000000007</v>
      </c>
      <c r="D133" s="38">
        <v>7920.4500000000007</v>
      </c>
      <c r="E133" s="9">
        <v>316.82</v>
      </c>
      <c r="F133" s="9">
        <v>0</v>
      </c>
      <c r="G133" s="9">
        <v>0</v>
      </c>
      <c r="H133" s="9">
        <v>0</v>
      </c>
      <c r="I133" s="9">
        <v>7920.4500000000007</v>
      </c>
      <c r="J133" s="9">
        <v>0</v>
      </c>
      <c r="K133" s="9">
        <v>125.47</v>
      </c>
      <c r="L133" s="27">
        <v>577.88</v>
      </c>
    </row>
    <row r="134" spans="1:12" x14ac:dyDescent="0.25">
      <c r="A134" s="35"/>
      <c r="B134" s="34" t="s">
        <v>332</v>
      </c>
      <c r="C134" s="26">
        <v>7899.3</v>
      </c>
      <c r="D134" s="38">
        <v>7899.3</v>
      </c>
      <c r="E134" s="9">
        <v>315.97000000000003</v>
      </c>
      <c r="F134" s="9">
        <v>0</v>
      </c>
      <c r="G134" s="9">
        <v>0</v>
      </c>
      <c r="H134" s="9">
        <v>0</v>
      </c>
      <c r="I134" s="9">
        <v>7899.3</v>
      </c>
      <c r="J134" s="9">
        <v>0</v>
      </c>
      <c r="K134" s="9">
        <v>125.12</v>
      </c>
      <c r="L134" s="27">
        <v>576.34</v>
      </c>
    </row>
    <row r="135" spans="1:12" x14ac:dyDescent="0.25">
      <c r="A135" s="35"/>
      <c r="B135" s="34" t="s">
        <v>164</v>
      </c>
      <c r="C135" s="26">
        <v>7859.55</v>
      </c>
      <c r="D135" s="38">
        <v>7859.55</v>
      </c>
      <c r="E135" s="9">
        <v>314.38</v>
      </c>
      <c r="F135" s="9">
        <v>0</v>
      </c>
      <c r="G135" s="9">
        <v>0</v>
      </c>
      <c r="H135" s="9">
        <v>0</v>
      </c>
      <c r="I135" s="9">
        <v>7859.55</v>
      </c>
      <c r="J135" s="9">
        <v>0</v>
      </c>
      <c r="K135" s="9">
        <v>124.5</v>
      </c>
      <c r="L135" s="27">
        <v>573.44000000000005</v>
      </c>
    </row>
    <row r="136" spans="1:12" x14ac:dyDescent="0.25">
      <c r="A136" s="35"/>
      <c r="B136" s="34" t="s">
        <v>276</v>
      </c>
      <c r="C136" s="26">
        <v>7827.52</v>
      </c>
      <c r="D136" s="38">
        <v>7827.52</v>
      </c>
      <c r="E136" s="9">
        <v>313.10000000000002</v>
      </c>
      <c r="F136" s="9">
        <v>0</v>
      </c>
      <c r="G136" s="9">
        <v>0</v>
      </c>
      <c r="H136" s="9">
        <v>0</v>
      </c>
      <c r="I136" s="9">
        <v>7827.52</v>
      </c>
      <c r="J136" s="9">
        <v>0</v>
      </c>
      <c r="K136" s="9">
        <v>124</v>
      </c>
      <c r="L136" s="27">
        <v>571.09</v>
      </c>
    </row>
    <row r="137" spans="1:12" x14ac:dyDescent="0.25">
      <c r="A137" s="35"/>
      <c r="B137" s="34" t="s">
        <v>152</v>
      </c>
      <c r="C137" s="26">
        <v>7741.51</v>
      </c>
      <c r="D137" s="38">
        <v>7741.51</v>
      </c>
      <c r="E137" s="9">
        <v>309.66000000000003</v>
      </c>
      <c r="F137" s="9">
        <v>0</v>
      </c>
      <c r="G137" s="9">
        <v>0</v>
      </c>
      <c r="H137" s="9">
        <v>0</v>
      </c>
      <c r="I137" s="9">
        <v>7741.51</v>
      </c>
      <c r="J137" s="9">
        <v>0</v>
      </c>
      <c r="K137" s="9">
        <v>122.62</v>
      </c>
      <c r="L137" s="27">
        <v>564.82000000000005</v>
      </c>
    </row>
    <row r="138" spans="1:12" x14ac:dyDescent="0.25">
      <c r="A138" s="35"/>
      <c r="B138" s="34" t="s">
        <v>154</v>
      </c>
      <c r="C138" s="26">
        <v>7552.76</v>
      </c>
      <c r="D138" s="38">
        <v>7552.76</v>
      </c>
      <c r="E138" s="9">
        <v>302.11</v>
      </c>
      <c r="F138" s="9">
        <v>0</v>
      </c>
      <c r="G138" s="9">
        <v>0</v>
      </c>
      <c r="H138" s="9">
        <v>0</v>
      </c>
      <c r="I138" s="9">
        <v>7552.76</v>
      </c>
      <c r="J138" s="9">
        <v>0</v>
      </c>
      <c r="K138" s="9">
        <v>119.63</v>
      </c>
      <c r="L138" s="27">
        <v>551.04</v>
      </c>
    </row>
    <row r="139" spans="1:12" x14ac:dyDescent="0.25">
      <c r="A139" s="35"/>
      <c r="B139" s="34" t="s">
        <v>293</v>
      </c>
      <c r="C139" s="26">
        <v>7782.42</v>
      </c>
      <c r="D139" s="38">
        <v>7537.46</v>
      </c>
      <c r="E139" s="9">
        <v>301.5</v>
      </c>
      <c r="F139" s="9">
        <v>0</v>
      </c>
      <c r="G139" s="9">
        <v>0</v>
      </c>
      <c r="H139" s="9">
        <v>244.96</v>
      </c>
      <c r="I139" s="9">
        <v>0</v>
      </c>
      <c r="J139" s="9">
        <v>0</v>
      </c>
      <c r="K139" s="9">
        <v>119.39</v>
      </c>
      <c r="L139" s="27">
        <v>549.92999999999995</v>
      </c>
    </row>
    <row r="140" spans="1:12" x14ac:dyDescent="0.25">
      <c r="A140" s="35"/>
      <c r="B140" s="34" t="s">
        <v>55</v>
      </c>
      <c r="C140" s="26">
        <v>7530.84</v>
      </c>
      <c r="D140" s="38">
        <v>7530.84</v>
      </c>
      <c r="E140" s="9">
        <v>301.23</v>
      </c>
      <c r="F140" s="9">
        <v>0</v>
      </c>
      <c r="G140" s="9">
        <v>0</v>
      </c>
      <c r="H140" s="9">
        <v>0</v>
      </c>
      <c r="I140" s="9">
        <v>7530.84</v>
      </c>
      <c r="J140" s="9">
        <v>0</v>
      </c>
      <c r="K140" s="9">
        <v>119.29</v>
      </c>
      <c r="L140" s="27">
        <v>549.45000000000005</v>
      </c>
    </row>
    <row r="141" spans="1:12" x14ac:dyDescent="0.25">
      <c r="A141" s="35"/>
      <c r="B141" s="34" t="s">
        <v>257</v>
      </c>
      <c r="C141" s="26">
        <v>7404.16</v>
      </c>
      <c r="D141" s="38">
        <v>7404.16</v>
      </c>
      <c r="E141" s="9">
        <v>296.17</v>
      </c>
      <c r="F141" s="9">
        <v>0</v>
      </c>
      <c r="G141" s="9">
        <v>0</v>
      </c>
      <c r="H141" s="9">
        <v>0</v>
      </c>
      <c r="I141" s="9">
        <v>7404.16</v>
      </c>
      <c r="J141" s="9">
        <v>0</v>
      </c>
      <c r="K141" s="9">
        <v>117.29</v>
      </c>
      <c r="L141" s="27">
        <v>540.21</v>
      </c>
    </row>
    <row r="142" spans="1:12" x14ac:dyDescent="0.25">
      <c r="A142" s="35"/>
      <c r="B142" s="34" t="s">
        <v>206</v>
      </c>
      <c r="C142" s="26">
        <v>7291.62</v>
      </c>
      <c r="D142" s="38">
        <v>7291.62</v>
      </c>
      <c r="E142" s="9">
        <v>291.66000000000003</v>
      </c>
      <c r="F142" s="9">
        <v>0</v>
      </c>
      <c r="G142" s="9">
        <v>0</v>
      </c>
      <c r="H142" s="9">
        <v>0</v>
      </c>
      <c r="I142" s="9">
        <v>7291.62</v>
      </c>
      <c r="J142" s="9">
        <v>0</v>
      </c>
      <c r="K142" s="9">
        <v>115.49</v>
      </c>
      <c r="L142" s="27">
        <v>531.98</v>
      </c>
    </row>
    <row r="143" spans="1:12" x14ac:dyDescent="0.25">
      <c r="A143" s="35"/>
      <c r="B143" s="34" t="s">
        <v>269</v>
      </c>
      <c r="C143" s="26">
        <v>7026.7</v>
      </c>
      <c r="D143" s="38">
        <v>7026.7</v>
      </c>
      <c r="E143" s="9">
        <v>281.07</v>
      </c>
      <c r="F143" s="9">
        <v>0</v>
      </c>
      <c r="G143" s="9">
        <v>0</v>
      </c>
      <c r="H143" s="9">
        <v>0</v>
      </c>
      <c r="I143" s="9">
        <v>7026.7</v>
      </c>
      <c r="J143" s="9">
        <v>0</v>
      </c>
      <c r="K143" s="9">
        <v>111.32</v>
      </c>
      <c r="L143" s="27">
        <v>512.66</v>
      </c>
    </row>
    <row r="144" spans="1:12" x14ac:dyDescent="0.25">
      <c r="A144" s="35"/>
      <c r="B144" s="34" t="s">
        <v>287</v>
      </c>
      <c r="C144" s="26">
        <v>7015.31</v>
      </c>
      <c r="D144" s="38">
        <v>7015.31</v>
      </c>
      <c r="E144" s="9">
        <v>280.61</v>
      </c>
      <c r="F144" s="9">
        <v>0</v>
      </c>
      <c r="G144" s="9">
        <v>0</v>
      </c>
      <c r="H144" s="9">
        <v>0</v>
      </c>
      <c r="I144" s="9">
        <v>7015.31</v>
      </c>
      <c r="J144" s="9">
        <v>0</v>
      </c>
      <c r="K144" s="9">
        <v>111.14</v>
      </c>
      <c r="L144" s="27">
        <v>511.84000000000003</v>
      </c>
    </row>
    <row r="145" spans="1:12" x14ac:dyDescent="0.25">
      <c r="A145" s="35"/>
      <c r="B145" s="34" t="s">
        <v>339</v>
      </c>
      <c r="C145" s="26">
        <v>6913.97</v>
      </c>
      <c r="D145" s="38">
        <v>6913.97</v>
      </c>
      <c r="E145" s="9">
        <v>276.56</v>
      </c>
      <c r="F145" s="9">
        <v>0</v>
      </c>
      <c r="G145" s="9">
        <v>0</v>
      </c>
      <c r="H145" s="9">
        <v>0</v>
      </c>
      <c r="I145" s="9">
        <v>6913.97</v>
      </c>
      <c r="J145" s="9">
        <v>0</v>
      </c>
      <c r="K145" s="9">
        <v>109.51</v>
      </c>
      <c r="L145" s="27">
        <v>504.43</v>
      </c>
    </row>
    <row r="146" spans="1:12" x14ac:dyDescent="0.25">
      <c r="A146" s="35"/>
      <c r="B146" s="34" t="s">
        <v>369</v>
      </c>
      <c r="C146" s="26">
        <v>6889.05</v>
      </c>
      <c r="D146" s="38">
        <v>6889.05</v>
      </c>
      <c r="E146" s="9">
        <v>275.56</v>
      </c>
      <c r="F146" s="9">
        <v>0</v>
      </c>
      <c r="G146" s="9">
        <v>0</v>
      </c>
      <c r="H146" s="9">
        <v>0</v>
      </c>
      <c r="I146" s="9">
        <v>6889.05</v>
      </c>
      <c r="J146" s="9">
        <v>0</v>
      </c>
      <c r="K146" s="9">
        <v>109.13</v>
      </c>
      <c r="L146" s="27">
        <v>502.64</v>
      </c>
    </row>
    <row r="147" spans="1:12" x14ac:dyDescent="0.25">
      <c r="A147" s="35"/>
      <c r="B147" s="34" t="s">
        <v>250</v>
      </c>
      <c r="C147" s="26">
        <v>2742.45</v>
      </c>
      <c r="D147" s="38">
        <v>2742.45</v>
      </c>
      <c r="E147" s="9">
        <v>274.25</v>
      </c>
      <c r="F147" s="9">
        <v>0</v>
      </c>
      <c r="G147" s="9">
        <v>0</v>
      </c>
      <c r="H147" s="9">
        <v>0</v>
      </c>
      <c r="I147" s="9">
        <v>2742.45</v>
      </c>
      <c r="J147" s="9">
        <v>0</v>
      </c>
      <c r="K147" s="9">
        <v>40.729999999999997</v>
      </c>
      <c r="L147" s="27">
        <v>187.58</v>
      </c>
    </row>
    <row r="148" spans="1:12" x14ac:dyDescent="0.25">
      <c r="A148" s="35"/>
      <c r="B148" s="34" t="s">
        <v>318</v>
      </c>
      <c r="C148" s="26">
        <v>6739.5</v>
      </c>
      <c r="D148" s="38">
        <v>6739.5</v>
      </c>
      <c r="E148" s="9">
        <v>269.58</v>
      </c>
      <c r="F148" s="9">
        <v>0</v>
      </c>
      <c r="G148" s="9">
        <v>0</v>
      </c>
      <c r="H148" s="9">
        <v>0</v>
      </c>
      <c r="I148" s="9">
        <v>6739.5</v>
      </c>
      <c r="J148" s="9">
        <v>0</v>
      </c>
      <c r="K148" s="9">
        <v>106.76</v>
      </c>
      <c r="L148" s="27">
        <v>491.71</v>
      </c>
    </row>
    <row r="149" spans="1:12" x14ac:dyDescent="0.25">
      <c r="A149" s="35"/>
      <c r="B149" s="34" t="s">
        <v>230</v>
      </c>
      <c r="C149" s="26">
        <v>6714.49</v>
      </c>
      <c r="D149" s="38">
        <v>6714.49</v>
      </c>
      <c r="E149" s="9">
        <v>268.58000000000004</v>
      </c>
      <c r="F149" s="9">
        <v>0</v>
      </c>
      <c r="G149" s="9">
        <v>0</v>
      </c>
      <c r="H149" s="9">
        <v>0</v>
      </c>
      <c r="I149" s="9">
        <v>6714.49</v>
      </c>
      <c r="J149" s="9">
        <v>0</v>
      </c>
      <c r="K149" s="9">
        <v>106.36</v>
      </c>
      <c r="L149" s="27">
        <v>489.89</v>
      </c>
    </row>
    <row r="150" spans="1:12" x14ac:dyDescent="0.25">
      <c r="A150" s="35"/>
      <c r="B150" s="34" t="s">
        <v>362</v>
      </c>
      <c r="C150" s="26">
        <v>6709.5</v>
      </c>
      <c r="D150" s="38">
        <v>6709.5</v>
      </c>
      <c r="E150" s="9">
        <v>268.38</v>
      </c>
      <c r="F150" s="9">
        <v>0</v>
      </c>
      <c r="G150" s="9">
        <v>0</v>
      </c>
      <c r="H150" s="9">
        <v>0</v>
      </c>
      <c r="I150" s="9">
        <v>6709.5</v>
      </c>
      <c r="J150" s="9">
        <v>0</v>
      </c>
      <c r="K150" s="9">
        <v>106.28</v>
      </c>
      <c r="L150" s="27">
        <v>489.53</v>
      </c>
    </row>
    <row r="151" spans="1:12" x14ac:dyDescent="0.25">
      <c r="A151" s="35"/>
      <c r="B151" s="34" t="s">
        <v>140</v>
      </c>
      <c r="C151" s="26">
        <v>6541.6</v>
      </c>
      <c r="D151" s="38">
        <v>6541.6</v>
      </c>
      <c r="E151" s="9">
        <v>261.66000000000003</v>
      </c>
      <c r="F151" s="9">
        <v>0</v>
      </c>
      <c r="G151" s="9">
        <v>0</v>
      </c>
      <c r="H151" s="9">
        <v>0</v>
      </c>
      <c r="I151" s="9">
        <v>6541.6</v>
      </c>
      <c r="J151" s="9">
        <v>0</v>
      </c>
      <c r="K151" s="9">
        <v>103.62</v>
      </c>
      <c r="L151" s="27">
        <v>477.27</v>
      </c>
    </row>
    <row r="152" spans="1:12" x14ac:dyDescent="0.25">
      <c r="A152" s="35"/>
      <c r="B152" s="34" t="s">
        <v>334</v>
      </c>
      <c r="C152" s="26">
        <v>6445.08</v>
      </c>
      <c r="D152" s="38">
        <v>6445.08</v>
      </c>
      <c r="E152" s="9">
        <v>257.8</v>
      </c>
      <c r="F152" s="9">
        <v>0</v>
      </c>
      <c r="G152" s="9">
        <v>0</v>
      </c>
      <c r="H152" s="9">
        <v>0</v>
      </c>
      <c r="I152" s="9">
        <v>6445.08</v>
      </c>
      <c r="J152" s="9">
        <v>0</v>
      </c>
      <c r="K152" s="9">
        <v>102.1</v>
      </c>
      <c r="L152" s="27">
        <v>470.22</v>
      </c>
    </row>
    <row r="153" spans="1:12" x14ac:dyDescent="0.25">
      <c r="A153" s="35"/>
      <c r="B153" s="34" t="s">
        <v>275</v>
      </c>
      <c r="C153" s="26">
        <v>6427.2</v>
      </c>
      <c r="D153" s="38">
        <v>6427.2</v>
      </c>
      <c r="E153" s="9">
        <v>257.08999999999997</v>
      </c>
      <c r="F153" s="9">
        <v>0</v>
      </c>
      <c r="G153" s="9">
        <v>0</v>
      </c>
      <c r="H153" s="9">
        <v>0</v>
      </c>
      <c r="I153" s="9">
        <v>6427.2</v>
      </c>
      <c r="J153" s="9">
        <v>0</v>
      </c>
      <c r="K153" s="9">
        <v>101.81</v>
      </c>
      <c r="L153" s="27">
        <v>468.93</v>
      </c>
    </row>
    <row r="154" spans="1:12" x14ac:dyDescent="0.25">
      <c r="A154" s="35"/>
      <c r="B154" s="34" t="s">
        <v>153</v>
      </c>
      <c r="C154" s="26">
        <v>6389.21</v>
      </c>
      <c r="D154" s="38">
        <v>6389.21</v>
      </c>
      <c r="E154" s="9">
        <v>255.57</v>
      </c>
      <c r="F154" s="9">
        <v>0</v>
      </c>
      <c r="G154" s="9">
        <v>0</v>
      </c>
      <c r="H154" s="9">
        <v>0</v>
      </c>
      <c r="I154" s="9">
        <v>6389.21</v>
      </c>
      <c r="J154" s="9">
        <v>0</v>
      </c>
      <c r="K154" s="9">
        <v>101.21</v>
      </c>
      <c r="L154" s="27">
        <v>466.16</v>
      </c>
    </row>
    <row r="155" spans="1:12" x14ac:dyDescent="0.25">
      <c r="A155" s="35"/>
      <c r="B155" s="34" t="s">
        <v>360</v>
      </c>
      <c r="C155" s="26">
        <v>6321.32</v>
      </c>
      <c r="D155" s="38">
        <v>6321.32</v>
      </c>
      <c r="E155" s="9">
        <v>252.85</v>
      </c>
      <c r="F155" s="9">
        <v>0</v>
      </c>
      <c r="G155" s="9">
        <v>0</v>
      </c>
      <c r="H155" s="9">
        <v>0</v>
      </c>
      <c r="I155" s="9">
        <v>6321.32</v>
      </c>
      <c r="J155" s="9">
        <v>0</v>
      </c>
      <c r="K155" s="9">
        <v>100.13</v>
      </c>
      <c r="L155" s="27">
        <v>461.2</v>
      </c>
    </row>
    <row r="156" spans="1:12" x14ac:dyDescent="0.25">
      <c r="A156" s="35"/>
      <c r="B156" s="34" t="s">
        <v>107</v>
      </c>
      <c r="C156" s="26">
        <v>6247.36</v>
      </c>
      <c r="D156" s="38">
        <v>6247.36</v>
      </c>
      <c r="E156" s="9">
        <v>249.9</v>
      </c>
      <c r="F156" s="9">
        <v>0</v>
      </c>
      <c r="G156" s="9">
        <v>0</v>
      </c>
      <c r="H156" s="9">
        <v>0</v>
      </c>
      <c r="I156" s="9">
        <v>6247.36</v>
      </c>
      <c r="J156" s="9">
        <v>0</v>
      </c>
      <c r="K156" s="9">
        <v>98.960000000000008</v>
      </c>
      <c r="L156" s="27">
        <v>455.81</v>
      </c>
    </row>
    <row r="157" spans="1:12" x14ac:dyDescent="0.25">
      <c r="A157" s="35"/>
      <c r="B157" s="34" t="s">
        <v>169</v>
      </c>
      <c r="C157" s="26">
        <v>6106</v>
      </c>
      <c r="D157" s="38">
        <v>6106</v>
      </c>
      <c r="E157" s="9">
        <v>244.24</v>
      </c>
      <c r="F157" s="9">
        <v>0</v>
      </c>
      <c r="G157" s="9">
        <v>0</v>
      </c>
      <c r="H157" s="9">
        <v>0</v>
      </c>
      <c r="I157" s="9">
        <v>6106</v>
      </c>
      <c r="J157" s="9">
        <v>0</v>
      </c>
      <c r="K157" s="9">
        <v>96.71</v>
      </c>
      <c r="L157" s="27">
        <v>445.48</v>
      </c>
    </row>
    <row r="158" spans="1:12" x14ac:dyDescent="0.25">
      <c r="A158" s="35"/>
      <c r="B158" s="34" t="s">
        <v>132</v>
      </c>
      <c r="C158" s="26">
        <v>6103.44</v>
      </c>
      <c r="D158" s="38">
        <v>6103.44</v>
      </c>
      <c r="E158" s="9">
        <v>244.14</v>
      </c>
      <c r="F158" s="9">
        <v>0</v>
      </c>
      <c r="G158" s="9">
        <v>0</v>
      </c>
      <c r="H158" s="9">
        <v>0</v>
      </c>
      <c r="I158" s="9">
        <v>6103.44</v>
      </c>
      <c r="J158" s="9">
        <v>0</v>
      </c>
      <c r="K158" s="9">
        <v>96.68</v>
      </c>
      <c r="L158" s="27">
        <v>445.31</v>
      </c>
    </row>
    <row r="159" spans="1:12" x14ac:dyDescent="0.25">
      <c r="A159" s="35"/>
      <c r="B159" s="34" t="s">
        <v>108</v>
      </c>
      <c r="C159" s="26">
        <v>6015.6</v>
      </c>
      <c r="D159" s="38">
        <v>6015.6</v>
      </c>
      <c r="E159" s="9">
        <v>240.62</v>
      </c>
      <c r="F159" s="9">
        <v>0</v>
      </c>
      <c r="G159" s="9">
        <v>0</v>
      </c>
      <c r="H159" s="9">
        <v>0</v>
      </c>
      <c r="I159" s="9">
        <v>6015.6</v>
      </c>
      <c r="J159" s="9">
        <v>0</v>
      </c>
      <c r="K159" s="9">
        <v>95.3</v>
      </c>
      <c r="L159" s="27">
        <v>438.9</v>
      </c>
    </row>
    <row r="160" spans="1:12" x14ac:dyDescent="0.25">
      <c r="A160" s="35"/>
      <c r="B160" s="34" t="s">
        <v>139</v>
      </c>
      <c r="C160" s="26">
        <v>5945.16</v>
      </c>
      <c r="D160" s="38">
        <v>5945.16</v>
      </c>
      <c r="E160" s="9">
        <v>237.81</v>
      </c>
      <c r="F160" s="9">
        <v>0</v>
      </c>
      <c r="G160" s="9">
        <v>0</v>
      </c>
      <c r="H160" s="9">
        <v>0</v>
      </c>
      <c r="I160" s="9">
        <v>5945.16</v>
      </c>
      <c r="J160" s="9">
        <v>0</v>
      </c>
      <c r="K160" s="9">
        <v>94.17</v>
      </c>
      <c r="L160" s="27">
        <v>433.76</v>
      </c>
    </row>
    <row r="161" spans="1:12" x14ac:dyDescent="0.25">
      <c r="A161" s="35"/>
      <c r="B161" s="34" t="s">
        <v>129</v>
      </c>
      <c r="C161" s="26">
        <v>5856.6</v>
      </c>
      <c r="D161" s="38">
        <v>5856.6</v>
      </c>
      <c r="E161" s="9">
        <v>234.26</v>
      </c>
      <c r="F161" s="9">
        <v>0</v>
      </c>
      <c r="G161" s="9">
        <v>0</v>
      </c>
      <c r="H161" s="9">
        <v>0</v>
      </c>
      <c r="I161" s="9">
        <v>5856.6</v>
      </c>
      <c r="J161" s="9">
        <v>0</v>
      </c>
      <c r="K161" s="9">
        <v>92.77</v>
      </c>
      <c r="L161" s="27">
        <v>427.29</v>
      </c>
    </row>
    <row r="162" spans="1:12" x14ac:dyDescent="0.25">
      <c r="A162" s="35"/>
      <c r="B162" s="34" t="s">
        <v>265</v>
      </c>
      <c r="C162" s="26">
        <v>5580.3</v>
      </c>
      <c r="D162" s="38">
        <v>5580.3</v>
      </c>
      <c r="E162" s="9">
        <v>223.21</v>
      </c>
      <c r="F162" s="9">
        <v>0</v>
      </c>
      <c r="G162" s="9">
        <v>0</v>
      </c>
      <c r="H162" s="9">
        <v>0</v>
      </c>
      <c r="I162" s="9">
        <v>5580.3</v>
      </c>
      <c r="J162" s="9">
        <v>0</v>
      </c>
      <c r="K162" s="9">
        <v>88.39</v>
      </c>
      <c r="L162" s="27">
        <v>407.13</v>
      </c>
    </row>
    <row r="163" spans="1:12" x14ac:dyDescent="0.25">
      <c r="A163" s="35"/>
      <c r="B163" s="34" t="s">
        <v>198</v>
      </c>
      <c r="C163" s="26">
        <v>5555.48</v>
      </c>
      <c r="D163" s="38">
        <v>5555.48</v>
      </c>
      <c r="E163" s="9">
        <v>222.22000000000003</v>
      </c>
      <c r="F163" s="9">
        <v>0</v>
      </c>
      <c r="G163" s="9">
        <v>0</v>
      </c>
      <c r="H163" s="9">
        <v>0</v>
      </c>
      <c r="I163" s="9">
        <v>5555.48</v>
      </c>
      <c r="J163" s="9">
        <v>0</v>
      </c>
      <c r="K163" s="9">
        <v>87.99</v>
      </c>
      <c r="L163" s="27">
        <v>405.32</v>
      </c>
    </row>
    <row r="164" spans="1:12" x14ac:dyDescent="0.25">
      <c r="A164" s="35"/>
      <c r="B164" s="34" t="s">
        <v>253</v>
      </c>
      <c r="C164" s="26">
        <v>5567.82</v>
      </c>
      <c r="D164" s="38">
        <v>5393.84</v>
      </c>
      <c r="E164" s="9">
        <v>215.75</v>
      </c>
      <c r="F164" s="9">
        <v>0</v>
      </c>
      <c r="G164" s="9">
        <v>0</v>
      </c>
      <c r="H164" s="9">
        <v>173.98</v>
      </c>
      <c r="I164" s="9">
        <v>40.58</v>
      </c>
      <c r="J164" s="9">
        <v>0</v>
      </c>
      <c r="K164" s="9">
        <v>85.44</v>
      </c>
      <c r="L164" s="27">
        <v>393.54</v>
      </c>
    </row>
    <row r="165" spans="1:12" x14ac:dyDescent="0.25">
      <c r="A165" s="35"/>
      <c r="B165" s="34" t="s">
        <v>226</v>
      </c>
      <c r="C165" s="26">
        <v>5390.51</v>
      </c>
      <c r="D165" s="38">
        <v>5390.51</v>
      </c>
      <c r="E165" s="9">
        <v>215.62</v>
      </c>
      <c r="F165" s="9">
        <v>0</v>
      </c>
      <c r="G165" s="9">
        <v>0</v>
      </c>
      <c r="H165" s="9">
        <v>0</v>
      </c>
      <c r="I165" s="9">
        <v>5390.51</v>
      </c>
      <c r="J165" s="9">
        <v>0</v>
      </c>
      <c r="K165" s="9">
        <v>85.39</v>
      </c>
      <c r="L165" s="27">
        <v>393.29</v>
      </c>
    </row>
    <row r="166" spans="1:12" x14ac:dyDescent="0.25">
      <c r="A166" s="35"/>
      <c r="B166" s="34" t="s">
        <v>262</v>
      </c>
      <c r="C166" s="26">
        <v>5386.18</v>
      </c>
      <c r="D166" s="38">
        <v>5386.18</v>
      </c>
      <c r="E166" s="9">
        <v>215.45</v>
      </c>
      <c r="F166" s="9">
        <v>0</v>
      </c>
      <c r="G166" s="9">
        <v>0</v>
      </c>
      <c r="H166" s="9">
        <v>0</v>
      </c>
      <c r="I166" s="9">
        <v>5386.18</v>
      </c>
      <c r="J166" s="9">
        <v>0</v>
      </c>
      <c r="K166" s="9">
        <v>85.31</v>
      </c>
      <c r="L166" s="27">
        <v>392.98</v>
      </c>
    </row>
    <row r="167" spans="1:12" x14ac:dyDescent="0.25">
      <c r="A167" s="35"/>
      <c r="B167" s="34" t="s">
        <v>119</v>
      </c>
      <c r="C167" s="26">
        <v>5326.83</v>
      </c>
      <c r="D167" s="38">
        <v>5326.83</v>
      </c>
      <c r="E167" s="9">
        <v>213.07</v>
      </c>
      <c r="F167" s="9">
        <v>0</v>
      </c>
      <c r="G167" s="9">
        <v>0</v>
      </c>
      <c r="H167" s="9">
        <v>0</v>
      </c>
      <c r="I167" s="9">
        <v>5326.83</v>
      </c>
      <c r="J167" s="9">
        <v>0</v>
      </c>
      <c r="K167" s="9">
        <v>84.38</v>
      </c>
      <c r="L167" s="27">
        <v>388.65</v>
      </c>
    </row>
    <row r="168" spans="1:12" x14ac:dyDescent="0.25">
      <c r="A168" s="35"/>
      <c r="B168" s="34" t="s">
        <v>170</v>
      </c>
      <c r="C168" s="26">
        <v>5245.5</v>
      </c>
      <c r="D168" s="38">
        <v>5245.5</v>
      </c>
      <c r="E168" s="9">
        <v>209.82</v>
      </c>
      <c r="F168" s="9">
        <v>0</v>
      </c>
      <c r="G168" s="9">
        <v>0</v>
      </c>
      <c r="H168" s="9">
        <v>0</v>
      </c>
      <c r="I168" s="9">
        <v>5245.5</v>
      </c>
      <c r="J168" s="9">
        <v>0</v>
      </c>
      <c r="K168" s="9">
        <v>83.09</v>
      </c>
      <c r="L168" s="27">
        <v>382.71</v>
      </c>
    </row>
    <row r="169" spans="1:12" x14ac:dyDescent="0.25">
      <c r="A169" s="35"/>
      <c r="B169" s="34" t="s">
        <v>319</v>
      </c>
      <c r="C169" s="26">
        <v>5221.07</v>
      </c>
      <c r="D169" s="38">
        <v>5221.07</v>
      </c>
      <c r="E169" s="9">
        <v>208.84</v>
      </c>
      <c r="F169" s="9">
        <v>0</v>
      </c>
      <c r="G169" s="9">
        <v>0</v>
      </c>
      <c r="H169" s="9">
        <v>0</v>
      </c>
      <c r="I169" s="9">
        <v>5221.07</v>
      </c>
      <c r="J169" s="9">
        <v>0</v>
      </c>
      <c r="K169" s="9">
        <v>82.72</v>
      </c>
      <c r="L169" s="27">
        <v>380.93</v>
      </c>
    </row>
    <row r="170" spans="1:12" x14ac:dyDescent="0.25">
      <c r="A170" s="35"/>
      <c r="B170" s="34" t="s">
        <v>298</v>
      </c>
      <c r="C170" s="26">
        <v>5006.3999999999996</v>
      </c>
      <c r="D170" s="38">
        <v>5006.3999999999996</v>
      </c>
      <c r="E170" s="9">
        <v>200.26</v>
      </c>
      <c r="F170" s="9">
        <v>0</v>
      </c>
      <c r="G170" s="9">
        <v>0</v>
      </c>
      <c r="H170" s="9">
        <v>0</v>
      </c>
      <c r="I170" s="9">
        <v>5006.3999999999996</v>
      </c>
      <c r="J170" s="9">
        <v>0</v>
      </c>
      <c r="K170" s="9">
        <v>79.3</v>
      </c>
      <c r="L170" s="27">
        <v>365.26</v>
      </c>
    </row>
    <row r="171" spans="1:12" x14ac:dyDescent="0.25">
      <c r="A171" s="35"/>
      <c r="B171" s="34" t="s">
        <v>133</v>
      </c>
      <c r="C171" s="26">
        <v>4932.49</v>
      </c>
      <c r="D171" s="38">
        <v>4932.49</v>
      </c>
      <c r="E171" s="9">
        <v>197.3</v>
      </c>
      <c r="F171" s="9">
        <v>0</v>
      </c>
      <c r="G171" s="9">
        <v>0</v>
      </c>
      <c r="H171" s="9">
        <v>0</v>
      </c>
      <c r="I171" s="9">
        <v>4932.49</v>
      </c>
      <c r="J171" s="9">
        <v>0</v>
      </c>
      <c r="K171" s="9">
        <v>78.13</v>
      </c>
      <c r="L171" s="27">
        <v>359.87</v>
      </c>
    </row>
    <row r="172" spans="1:12" x14ac:dyDescent="0.25">
      <c r="A172" s="35"/>
      <c r="B172" s="34" t="s">
        <v>306</v>
      </c>
      <c r="C172" s="26">
        <v>4906.1099999999997</v>
      </c>
      <c r="D172" s="38">
        <v>4906.1099999999997</v>
      </c>
      <c r="E172" s="9">
        <v>196.25</v>
      </c>
      <c r="F172" s="9">
        <v>0</v>
      </c>
      <c r="G172" s="9">
        <v>0</v>
      </c>
      <c r="H172" s="9">
        <v>0</v>
      </c>
      <c r="I172" s="9">
        <v>4872.32</v>
      </c>
      <c r="J172" s="9">
        <v>0</v>
      </c>
      <c r="K172" s="9">
        <v>77.709999999999994</v>
      </c>
      <c r="L172" s="27">
        <v>357.95</v>
      </c>
    </row>
    <row r="173" spans="1:12" x14ac:dyDescent="0.25">
      <c r="A173" s="35"/>
      <c r="B173" s="34" t="s">
        <v>115</v>
      </c>
      <c r="C173" s="26">
        <v>4873.05</v>
      </c>
      <c r="D173" s="38">
        <v>4873.05</v>
      </c>
      <c r="E173" s="9">
        <v>194.92</v>
      </c>
      <c r="F173" s="9">
        <v>0</v>
      </c>
      <c r="G173" s="9">
        <v>0</v>
      </c>
      <c r="H173" s="9">
        <v>0</v>
      </c>
      <c r="I173" s="9">
        <v>4873.05</v>
      </c>
      <c r="J173" s="9">
        <v>0</v>
      </c>
      <c r="K173" s="9">
        <v>77.19</v>
      </c>
      <c r="L173" s="27">
        <v>355.54</v>
      </c>
    </row>
    <row r="174" spans="1:12" x14ac:dyDescent="0.25">
      <c r="A174" s="35"/>
      <c r="B174" s="34" t="s">
        <v>131</v>
      </c>
      <c r="C174" s="26">
        <v>4780.04</v>
      </c>
      <c r="D174" s="38">
        <v>4780.04</v>
      </c>
      <c r="E174" s="9">
        <v>191.2</v>
      </c>
      <c r="F174" s="9">
        <v>0</v>
      </c>
      <c r="G174" s="9">
        <v>0</v>
      </c>
      <c r="H174" s="9">
        <v>0</v>
      </c>
      <c r="I174" s="9">
        <v>4780.04</v>
      </c>
      <c r="J174" s="9">
        <v>0</v>
      </c>
      <c r="K174" s="9">
        <v>75.72</v>
      </c>
      <c r="L174" s="27">
        <v>348.75</v>
      </c>
    </row>
    <row r="175" spans="1:12" x14ac:dyDescent="0.25">
      <c r="A175" s="35"/>
      <c r="B175" s="34" t="s">
        <v>335</v>
      </c>
      <c r="C175" s="26">
        <v>4737.1499999999996</v>
      </c>
      <c r="D175" s="38">
        <v>4737.1499999999996</v>
      </c>
      <c r="E175" s="9">
        <v>189.49</v>
      </c>
      <c r="F175" s="9">
        <v>0</v>
      </c>
      <c r="G175" s="9">
        <v>0</v>
      </c>
      <c r="H175" s="9">
        <v>0</v>
      </c>
      <c r="I175" s="9">
        <v>4737.1499999999996</v>
      </c>
      <c r="J175" s="9">
        <v>0</v>
      </c>
      <c r="K175" s="9">
        <v>75.03</v>
      </c>
      <c r="L175" s="27">
        <v>345.62</v>
      </c>
    </row>
    <row r="176" spans="1:12" x14ac:dyDescent="0.25">
      <c r="A176" s="35"/>
      <c r="B176" s="34" t="s">
        <v>312</v>
      </c>
      <c r="C176" s="26">
        <v>1526</v>
      </c>
      <c r="D176" s="38">
        <v>1526</v>
      </c>
      <c r="E176" s="9">
        <v>183.12</v>
      </c>
      <c r="F176" s="9">
        <v>0</v>
      </c>
      <c r="G176" s="9">
        <v>0</v>
      </c>
      <c r="H176" s="9">
        <v>0</v>
      </c>
      <c r="I176" s="9">
        <v>1526</v>
      </c>
      <c r="J176" s="9">
        <v>0</v>
      </c>
      <c r="K176" s="9">
        <v>22.16</v>
      </c>
      <c r="L176" s="27">
        <v>102.06</v>
      </c>
    </row>
    <row r="177" spans="1:12" x14ac:dyDescent="0.25">
      <c r="A177" s="35"/>
      <c r="B177" s="34" t="s">
        <v>338</v>
      </c>
      <c r="C177" s="26">
        <v>4456.6499999999996</v>
      </c>
      <c r="D177" s="38">
        <v>4456.6499999999996</v>
      </c>
      <c r="E177" s="9">
        <v>178.27</v>
      </c>
      <c r="F177" s="9">
        <v>0</v>
      </c>
      <c r="G177" s="9">
        <v>0</v>
      </c>
      <c r="H177" s="9">
        <v>0</v>
      </c>
      <c r="I177" s="9">
        <v>4456.6499999999996</v>
      </c>
      <c r="J177" s="9">
        <v>0</v>
      </c>
      <c r="K177" s="9">
        <v>70.599999999999994</v>
      </c>
      <c r="L177" s="27">
        <v>325.14999999999998</v>
      </c>
    </row>
    <row r="178" spans="1:12" x14ac:dyDescent="0.25">
      <c r="A178" s="35"/>
      <c r="B178" s="34" t="s">
        <v>229</v>
      </c>
      <c r="C178" s="26">
        <v>4368.24</v>
      </c>
      <c r="D178" s="38">
        <v>4368.24</v>
      </c>
      <c r="E178" s="9">
        <v>174.73</v>
      </c>
      <c r="F178" s="9">
        <v>0</v>
      </c>
      <c r="G178" s="9">
        <v>0</v>
      </c>
      <c r="H178" s="9">
        <v>0</v>
      </c>
      <c r="I178" s="9">
        <v>4368.24</v>
      </c>
      <c r="J178" s="9">
        <v>0</v>
      </c>
      <c r="K178" s="9">
        <v>69.19</v>
      </c>
      <c r="L178" s="27">
        <v>318.7</v>
      </c>
    </row>
    <row r="179" spans="1:12" x14ac:dyDescent="0.25">
      <c r="A179" s="35"/>
      <c r="B179" s="34" t="s">
        <v>352</v>
      </c>
      <c r="C179" s="26">
        <v>4351.87</v>
      </c>
      <c r="D179" s="38">
        <v>4351.87</v>
      </c>
      <c r="E179" s="9">
        <v>174.07</v>
      </c>
      <c r="F179" s="9">
        <v>0</v>
      </c>
      <c r="G179" s="9">
        <v>0</v>
      </c>
      <c r="H179" s="9">
        <v>0</v>
      </c>
      <c r="I179" s="9">
        <v>4351.87</v>
      </c>
      <c r="J179" s="9">
        <v>0</v>
      </c>
      <c r="K179" s="9">
        <v>68.930000000000007</v>
      </c>
      <c r="L179" s="27">
        <v>317.52</v>
      </c>
    </row>
    <row r="180" spans="1:12" x14ac:dyDescent="0.25">
      <c r="A180" s="35"/>
      <c r="B180" s="34" t="s">
        <v>348</v>
      </c>
      <c r="C180" s="26">
        <v>4331.33</v>
      </c>
      <c r="D180" s="38">
        <v>4331.33</v>
      </c>
      <c r="E180" s="9">
        <v>173.25</v>
      </c>
      <c r="F180" s="9">
        <v>0</v>
      </c>
      <c r="G180" s="9">
        <v>0</v>
      </c>
      <c r="H180" s="9">
        <v>0</v>
      </c>
      <c r="I180" s="9">
        <v>4331.33</v>
      </c>
      <c r="J180" s="9">
        <v>0</v>
      </c>
      <c r="K180" s="9">
        <v>68.61</v>
      </c>
      <c r="L180" s="27">
        <v>316.02</v>
      </c>
    </row>
    <row r="181" spans="1:12" x14ac:dyDescent="0.25">
      <c r="A181" s="35"/>
      <c r="B181" s="34" t="s">
        <v>354</v>
      </c>
      <c r="C181" s="26">
        <v>4304.92</v>
      </c>
      <c r="D181" s="38">
        <v>4304.92</v>
      </c>
      <c r="E181" s="9">
        <v>172.2</v>
      </c>
      <c r="F181" s="9">
        <v>0</v>
      </c>
      <c r="G181" s="9">
        <v>0</v>
      </c>
      <c r="H181" s="9">
        <v>0</v>
      </c>
      <c r="I181" s="9">
        <v>4304.92</v>
      </c>
      <c r="J181" s="9">
        <v>0</v>
      </c>
      <c r="K181" s="9">
        <v>68.19</v>
      </c>
      <c r="L181" s="27">
        <v>314.08999999999997</v>
      </c>
    </row>
    <row r="182" spans="1:12" x14ac:dyDescent="0.25">
      <c r="A182" s="35"/>
      <c r="B182" s="34" t="s">
        <v>329</v>
      </c>
      <c r="C182" s="26">
        <v>4278.5</v>
      </c>
      <c r="D182" s="38">
        <v>4278.5</v>
      </c>
      <c r="E182" s="9">
        <v>171.14</v>
      </c>
      <c r="F182" s="9">
        <v>0</v>
      </c>
      <c r="G182" s="9">
        <v>0</v>
      </c>
      <c r="H182" s="9">
        <v>0</v>
      </c>
      <c r="I182" s="9">
        <v>4278.5</v>
      </c>
      <c r="J182" s="9">
        <v>0</v>
      </c>
      <c r="K182" s="9">
        <v>67.77</v>
      </c>
      <c r="L182" s="27">
        <v>312.16000000000003</v>
      </c>
    </row>
    <row r="183" spans="1:12" x14ac:dyDescent="0.25">
      <c r="A183" s="35"/>
      <c r="B183" s="34" t="s">
        <v>202</v>
      </c>
      <c r="C183" s="26">
        <v>1383.5</v>
      </c>
      <c r="D183" s="38">
        <v>1383.5</v>
      </c>
      <c r="E183" s="9">
        <v>166.02</v>
      </c>
      <c r="F183" s="9">
        <v>0</v>
      </c>
      <c r="G183" s="9">
        <v>0</v>
      </c>
      <c r="H183" s="9">
        <v>0</v>
      </c>
      <c r="I183" s="9">
        <v>1383.5</v>
      </c>
      <c r="J183" s="9">
        <v>0</v>
      </c>
      <c r="K183" s="9">
        <v>20.09</v>
      </c>
      <c r="L183" s="27">
        <v>92.52</v>
      </c>
    </row>
    <row r="184" spans="1:12" x14ac:dyDescent="0.25">
      <c r="A184" s="35"/>
      <c r="B184" s="34" t="s">
        <v>336</v>
      </c>
      <c r="C184" s="26">
        <v>4050.3</v>
      </c>
      <c r="D184" s="38">
        <v>4050.3</v>
      </c>
      <c r="E184" s="9">
        <v>162.01</v>
      </c>
      <c r="F184" s="9">
        <v>0</v>
      </c>
      <c r="G184" s="9">
        <v>0</v>
      </c>
      <c r="H184" s="9">
        <v>0</v>
      </c>
      <c r="I184" s="9">
        <v>4050.3</v>
      </c>
      <c r="J184" s="9">
        <v>0</v>
      </c>
      <c r="K184" s="9">
        <v>64.16</v>
      </c>
      <c r="L184" s="27">
        <v>295.51</v>
      </c>
    </row>
    <row r="185" spans="1:12" x14ac:dyDescent="0.25">
      <c r="A185" s="35"/>
      <c r="B185" s="34" t="s">
        <v>242</v>
      </c>
      <c r="C185" s="26">
        <v>4011.57</v>
      </c>
      <c r="D185" s="38">
        <v>4011.57</v>
      </c>
      <c r="E185" s="9">
        <v>160.46</v>
      </c>
      <c r="F185" s="9">
        <v>0</v>
      </c>
      <c r="G185" s="9">
        <v>0</v>
      </c>
      <c r="H185" s="9">
        <v>0</v>
      </c>
      <c r="I185" s="9">
        <v>4011.57</v>
      </c>
      <c r="J185" s="9">
        <v>0</v>
      </c>
      <c r="K185" s="9">
        <v>63.53</v>
      </c>
      <c r="L185" s="27">
        <v>292.68</v>
      </c>
    </row>
    <row r="186" spans="1:12" x14ac:dyDescent="0.25">
      <c r="A186" s="35"/>
      <c r="B186" s="34" t="s">
        <v>144</v>
      </c>
      <c r="C186" s="26">
        <v>3957.72</v>
      </c>
      <c r="D186" s="38">
        <v>3957.72</v>
      </c>
      <c r="E186" s="9">
        <v>158.31</v>
      </c>
      <c r="F186" s="9">
        <v>0</v>
      </c>
      <c r="G186" s="9">
        <v>0</v>
      </c>
      <c r="H186" s="9">
        <v>0</v>
      </c>
      <c r="I186" s="9">
        <v>3957.72</v>
      </c>
      <c r="J186" s="9">
        <v>0</v>
      </c>
      <c r="K186" s="9">
        <v>62.69</v>
      </c>
      <c r="L186" s="27">
        <v>288.75</v>
      </c>
    </row>
    <row r="187" spans="1:12" x14ac:dyDescent="0.25">
      <c r="A187" s="35"/>
      <c r="B187" s="34" t="s">
        <v>147</v>
      </c>
      <c r="C187" s="26">
        <v>3906</v>
      </c>
      <c r="D187" s="38">
        <v>3906</v>
      </c>
      <c r="E187" s="9">
        <v>156.24</v>
      </c>
      <c r="F187" s="9">
        <v>0</v>
      </c>
      <c r="G187" s="9">
        <v>0</v>
      </c>
      <c r="H187" s="9">
        <v>0</v>
      </c>
      <c r="I187" s="9">
        <v>3906</v>
      </c>
      <c r="J187" s="9">
        <v>0</v>
      </c>
      <c r="K187" s="9">
        <v>61.87</v>
      </c>
      <c r="L187" s="27">
        <v>284.98</v>
      </c>
    </row>
    <row r="188" spans="1:12" x14ac:dyDescent="0.25">
      <c r="A188" s="35"/>
      <c r="B188" s="34" t="s">
        <v>349</v>
      </c>
      <c r="C188" s="26">
        <v>3857.24</v>
      </c>
      <c r="D188" s="38">
        <v>3857.24</v>
      </c>
      <c r="E188" s="9">
        <v>154.29</v>
      </c>
      <c r="F188" s="9">
        <v>0</v>
      </c>
      <c r="G188" s="9">
        <v>0</v>
      </c>
      <c r="H188" s="9">
        <v>0</v>
      </c>
      <c r="I188" s="9">
        <v>3857.24</v>
      </c>
      <c r="J188" s="9">
        <v>0</v>
      </c>
      <c r="K188" s="9">
        <v>61.11</v>
      </c>
      <c r="L188" s="27">
        <v>281.42</v>
      </c>
    </row>
    <row r="189" spans="1:12" x14ac:dyDescent="0.25">
      <c r="A189" s="35"/>
      <c r="B189" s="34" t="s">
        <v>231</v>
      </c>
      <c r="C189" s="26">
        <v>3827.31</v>
      </c>
      <c r="D189" s="38">
        <v>3827.31</v>
      </c>
      <c r="E189" s="9">
        <v>153.09</v>
      </c>
      <c r="F189" s="9">
        <v>0</v>
      </c>
      <c r="G189" s="9">
        <v>0</v>
      </c>
      <c r="H189" s="9">
        <v>0</v>
      </c>
      <c r="I189" s="9">
        <v>3827.31</v>
      </c>
      <c r="J189" s="9">
        <v>0</v>
      </c>
      <c r="K189" s="9">
        <v>60.62</v>
      </c>
      <c r="L189" s="27">
        <v>279.25</v>
      </c>
    </row>
    <row r="190" spans="1:12" x14ac:dyDescent="0.25">
      <c r="A190" s="35"/>
      <c r="B190" s="34" t="s">
        <v>203</v>
      </c>
      <c r="C190" s="26">
        <v>1272.3800000000001</v>
      </c>
      <c r="D190" s="38">
        <v>1272.3800000000001</v>
      </c>
      <c r="E190" s="9">
        <v>152.69</v>
      </c>
      <c r="F190" s="9">
        <v>0</v>
      </c>
      <c r="G190" s="9">
        <v>0</v>
      </c>
      <c r="H190" s="9">
        <v>0</v>
      </c>
      <c r="I190" s="9">
        <v>1272.3800000000001</v>
      </c>
      <c r="J190" s="9">
        <v>0</v>
      </c>
      <c r="K190" s="9">
        <v>18.47</v>
      </c>
      <c r="L190" s="27">
        <v>85.09</v>
      </c>
    </row>
    <row r="191" spans="1:12" x14ac:dyDescent="0.25">
      <c r="A191" s="35"/>
      <c r="B191" s="34" t="s">
        <v>213</v>
      </c>
      <c r="C191" s="26">
        <v>3756.7</v>
      </c>
      <c r="D191" s="38">
        <v>3756.7</v>
      </c>
      <c r="E191" s="9">
        <v>150.27000000000001</v>
      </c>
      <c r="F191" s="9">
        <v>0</v>
      </c>
      <c r="G191" s="9">
        <v>0</v>
      </c>
      <c r="H191" s="9">
        <v>0</v>
      </c>
      <c r="I191" s="9">
        <v>3756.7</v>
      </c>
      <c r="J191" s="9">
        <v>0</v>
      </c>
      <c r="K191" s="9">
        <v>59.51</v>
      </c>
      <c r="L191" s="27">
        <v>274.08999999999997</v>
      </c>
    </row>
    <row r="192" spans="1:12" x14ac:dyDescent="0.25">
      <c r="A192" s="35"/>
      <c r="B192" s="34" t="s">
        <v>294</v>
      </c>
      <c r="C192" s="26">
        <v>3738</v>
      </c>
      <c r="D192" s="38">
        <v>3738</v>
      </c>
      <c r="E192" s="9">
        <v>149.52000000000001</v>
      </c>
      <c r="F192" s="9">
        <v>0</v>
      </c>
      <c r="G192" s="9">
        <v>0</v>
      </c>
      <c r="H192" s="9">
        <v>0</v>
      </c>
      <c r="I192" s="9">
        <v>3738</v>
      </c>
      <c r="J192" s="9">
        <v>0</v>
      </c>
      <c r="K192" s="9">
        <v>59.2</v>
      </c>
      <c r="L192" s="27">
        <v>272.72000000000003</v>
      </c>
    </row>
    <row r="193" spans="1:12" x14ac:dyDescent="0.25">
      <c r="A193" s="35"/>
      <c r="B193" s="34" t="s">
        <v>106</v>
      </c>
      <c r="C193" s="26">
        <v>3709.68</v>
      </c>
      <c r="D193" s="38">
        <v>3709.68</v>
      </c>
      <c r="E193" s="9">
        <v>148.38999999999999</v>
      </c>
      <c r="F193" s="9">
        <v>0</v>
      </c>
      <c r="G193" s="9">
        <v>0</v>
      </c>
      <c r="H193" s="9">
        <v>0</v>
      </c>
      <c r="I193" s="9">
        <v>3709.68</v>
      </c>
      <c r="J193" s="9">
        <v>0</v>
      </c>
      <c r="K193" s="9">
        <v>58.76</v>
      </c>
      <c r="L193" s="27">
        <v>270.66000000000003</v>
      </c>
    </row>
    <row r="194" spans="1:12" x14ac:dyDescent="0.25">
      <c r="A194" s="35"/>
      <c r="B194" s="34" t="s">
        <v>162</v>
      </c>
      <c r="C194" s="26">
        <v>3693.08</v>
      </c>
      <c r="D194" s="38">
        <v>3693.08</v>
      </c>
      <c r="E194" s="9">
        <v>147.72</v>
      </c>
      <c r="F194" s="9">
        <v>0</v>
      </c>
      <c r="G194" s="9">
        <v>0</v>
      </c>
      <c r="H194" s="9">
        <v>0</v>
      </c>
      <c r="I194" s="9">
        <v>3693.08</v>
      </c>
      <c r="J194" s="9">
        <v>0</v>
      </c>
      <c r="K194" s="9">
        <v>58.5</v>
      </c>
      <c r="L194" s="27">
        <v>269.45</v>
      </c>
    </row>
    <row r="195" spans="1:12" x14ac:dyDescent="0.25">
      <c r="A195" s="35"/>
      <c r="B195" s="34" t="s">
        <v>282</v>
      </c>
      <c r="C195" s="26">
        <v>3653.1</v>
      </c>
      <c r="D195" s="38">
        <v>3653.1</v>
      </c>
      <c r="E195" s="9">
        <v>146.12</v>
      </c>
      <c r="F195" s="9">
        <v>0</v>
      </c>
      <c r="G195" s="9">
        <v>0</v>
      </c>
      <c r="H195" s="9">
        <v>0</v>
      </c>
      <c r="I195" s="9">
        <v>3653.1</v>
      </c>
      <c r="J195" s="9">
        <v>0</v>
      </c>
      <c r="K195" s="9">
        <v>57.86</v>
      </c>
      <c r="L195" s="27">
        <v>266.52999999999997</v>
      </c>
    </row>
    <row r="196" spans="1:12" x14ac:dyDescent="0.25">
      <c r="A196" s="35"/>
      <c r="B196" s="34" t="s">
        <v>77</v>
      </c>
      <c r="C196" s="26">
        <v>3633.09</v>
      </c>
      <c r="D196" s="38">
        <v>3633.09</v>
      </c>
      <c r="E196" s="9">
        <v>145.32</v>
      </c>
      <c r="F196" s="9">
        <v>0</v>
      </c>
      <c r="G196" s="9">
        <v>0</v>
      </c>
      <c r="H196" s="9">
        <v>0</v>
      </c>
      <c r="I196" s="9">
        <v>3633.09</v>
      </c>
      <c r="J196" s="9">
        <v>0</v>
      </c>
      <c r="K196" s="9">
        <v>57.55</v>
      </c>
      <c r="L196" s="27">
        <v>265.07</v>
      </c>
    </row>
    <row r="197" spans="1:12" x14ac:dyDescent="0.25">
      <c r="A197" s="35"/>
      <c r="B197" s="34" t="s">
        <v>146</v>
      </c>
      <c r="C197" s="26">
        <v>3615.7</v>
      </c>
      <c r="D197" s="38">
        <v>3615.7</v>
      </c>
      <c r="E197" s="9">
        <v>144.63</v>
      </c>
      <c r="F197" s="9">
        <v>0</v>
      </c>
      <c r="G197" s="9">
        <v>0</v>
      </c>
      <c r="H197" s="9">
        <v>0</v>
      </c>
      <c r="I197" s="9">
        <v>3615.7</v>
      </c>
      <c r="J197" s="9">
        <v>0</v>
      </c>
      <c r="K197" s="9">
        <v>57.27</v>
      </c>
      <c r="L197" s="27">
        <v>263.8</v>
      </c>
    </row>
    <row r="198" spans="1:12" x14ac:dyDescent="0.25">
      <c r="A198" s="35"/>
      <c r="B198" s="34" t="s">
        <v>341</v>
      </c>
      <c r="C198" s="26">
        <v>3607.76</v>
      </c>
      <c r="D198" s="38">
        <v>3607.76</v>
      </c>
      <c r="E198" s="9">
        <v>144.31</v>
      </c>
      <c r="F198" s="9">
        <v>0</v>
      </c>
      <c r="G198" s="9">
        <v>0</v>
      </c>
      <c r="H198" s="9">
        <v>0</v>
      </c>
      <c r="I198" s="9">
        <v>3607.76</v>
      </c>
      <c r="J198" s="9">
        <v>0</v>
      </c>
      <c r="K198" s="9">
        <v>57.15</v>
      </c>
      <c r="L198" s="27">
        <v>263.23</v>
      </c>
    </row>
    <row r="199" spans="1:12" x14ac:dyDescent="0.25">
      <c r="A199" s="35"/>
      <c r="B199" s="34" t="s">
        <v>199</v>
      </c>
      <c r="C199" s="26">
        <v>3483.36</v>
      </c>
      <c r="D199" s="38">
        <v>3483.36</v>
      </c>
      <c r="E199" s="9">
        <v>139.33000000000001</v>
      </c>
      <c r="F199" s="9">
        <v>0</v>
      </c>
      <c r="G199" s="9">
        <v>0</v>
      </c>
      <c r="H199" s="9">
        <v>0</v>
      </c>
      <c r="I199" s="9">
        <v>3483.36</v>
      </c>
      <c r="J199" s="9">
        <v>0</v>
      </c>
      <c r="K199" s="9">
        <v>55.18</v>
      </c>
      <c r="L199" s="27">
        <v>254.15</v>
      </c>
    </row>
    <row r="200" spans="1:12" x14ac:dyDescent="0.25">
      <c r="A200" s="35"/>
      <c r="B200" s="34" t="s">
        <v>112</v>
      </c>
      <c r="C200" s="26">
        <v>3479.9</v>
      </c>
      <c r="D200" s="38">
        <v>3479.9</v>
      </c>
      <c r="E200" s="9">
        <v>139.19999999999999</v>
      </c>
      <c r="F200" s="9">
        <v>0</v>
      </c>
      <c r="G200" s="9">
        <v>0</v>
      </c>
      <c r="H200" s="9">
        <v>0</v>
      </c>
      <c r="I200" s="9">
        <v>3479.9</v>
      </c>
      <c r="J200" s="9">
        <v>0</v>
      </c>
      <c r="K200" s="9">
        <v>55.13</v>
      </c>
      <c r="L200" s="27">
        <v>253.88</v>
      </c>
    </row>
    <row r="201" spans="1:12" x14ac:dyDescent="0.25">
      <c r="A201" s="35"/>
      <c r="B201" s="34" t="s">
        <v>122</v>
      </c>
      <c r="C201" s="26">
        <v>3460.6</v>
      </c>
      <c r="D201" s="38">
        <v>3460.6</v>
      </c>
      <c r="E201" s="9">
        <v>138.42000000000002</v>
      </c>
      <c r="F201" s="9">
        <v>0</v>
      </c>
      <c r="G201" s="9">
        <v>0</v>
      </c>
      <c r="H201" s="9">
        <v>0</v>
      </c>
      <c r="I201" s="9">
        <v>3460.6</v>
      </c>
      <c r="J201" s="9">
        <v>0</v>
      </c>
      <c r="K201" s="9">
        <v>54.82</v>
      </c>
      <c r="L201" s="27">
        <v>252.48999999999998</v>
      </c>
    </row>
    <row r="202" spans="1:12" x14ac:dyDescent="0.25">
      <c r="A202" s="35"/>
      <c r="B202" s="34" t="s">
        <v>364</v>
      </c>
      <c r="C202" s="26">
        <v>3369.24</v>
      </c>
      <c r="D202" s="38">
        <v>3369.24</v>
      </c>
      <c r="E202" s="9">
        <v>134.77000000000001</v>
      </c>
      <c r="F202" s="9">
        <v>0</v>
      </c>
      <c r="G202" s="9">
        <v>0</v>
      </c>
      <c r="H202" s="9">
        <v>0</v>
      </c>
      <c r="I202" s="9">
        <v>3369.24</v>
      </c>
      <c r="J202" s="9">
        <v>0</v>
      </c>
      <c r="K202" s="9">
        <v>53.37</v>
      </c>
      <c r="L202" s="27">
        <v>245.8</v>
      </c>
    </row>
    <row r="203" spans="1:12" x14ac:dyDescent="0.25">
      <c r="A203" s="35"/>
      <c r="B203" s="34" t="s">
        <v>340</v>
      </c>
      <c r="C203" s="26">
        <v>3328.27</v>
      </c>
      <c r="D203" s="38">
        <v>3328.27</v>
      </c>
      <c r="E203" s="9">
        <v>133.13</v>
      </c>
      <c r="F203" s="9">
        <v>0</v>
      </c>
      <c r="G203" s="9">
        <v>0</v>
      </c>
      <c r="H203" s="9">
        <v>0</v>
      </c>
      <c r="I203" s="9">
        <v>3328.27</v>
      </c>
      <c r="J203" s="9">
        <v>0</v>
      </c>
      <c r="K203" s="9">
        <v>52.72</v>
      </c>
      <c r="L203" s="27">
        <v>242.83</v>
      </c>
    </row>
    <row r="204" spans="1:12" x14ac:dyDescent="0.25">
      <c r="A204" s="35"/>
      <c r="B204" s="34" t="s">
        <v>71</v>
      </c>
      <c r="C204" s="26">
        <v>3267.6</v>
      </c>
      <c r="D204" s="38">
        <v>3267.6</v>
      </c>
      <c r="E204" s="9">
        <v>130.69999999999999</v>
      </c>
      <c r="F204" s="9">
        <v>0</v>
      </c>
      <c r="G204" s="9">
        <v>0</v>
      </c>
      <c r="H204" s="9">
        <v>0</v>
      </c>
      <c r="I204" s="9">
        <v>3267.6</v>
      </c>
      <c r="J204" s="9">
        <v>0</v>
      </c>
      <c r="K204" s="9">
        <v>51.76</v>
      </c>
      <c r="L204" s="27">
        <v>238.4</v>
      </c>
    </row>
    <row r="205" spans="1:12" x14ac:dyDescent="0.25">
      <c r="A205" s="35"/>
      <c r="B205" s="34" t="s">
        <v>173</v>
      </c>
      <c r="C205" s="26">
        <v>3246.5</v>
      </c>
      <c r="D205" s="38">
        <v>3246.5</v>
      </c>
      <c r="E205" s="9">
        <v>129.86000000000001</v>
      </c>
      <c r="F205" s="9">
        <v>0</v>
      </c>
      <c r="G205" s="9">
        <v>0</v>
      </c>
      <c r="H205" s="9">
        <v>0</v>
      </c>
      <c r="I205" s="9">
        <v>3246.5</v>
      </c>
      <c r="J205" s="9">
        <v>0</v>
      </c>
      <c r="K205" s="9">
        <v>51.42</v>
      </c>
      <c r="L205" s="27">
        <v>236.86</v>
      </c>
    </row>
    <row r="206" spans="1:12" x14ac:dyDescent="0.25">
      <c r="A206" s="35"/>
      <c r="B206" s="34" t="s">
        <v>331</v>
      </c>
      <c r="C206" s="26">
        <v>3240</v>
      </c>
      <c r="D206" s="38">
        <v>3240</v>
      </c>
      <c r="E206" s="9">
        <v>129.6</v>
      </c>
      <c r="F206" s="9">
        <v>0</v>
      </c>
      <c r="G206" s="9">
        <v>0</v>
      </c>
      <c r="H206" s="9">
        <v>0</v>
      </c>
      <c r="I206" s="9">
        <v>3240</v>
      </c>
      <c r="J206" s="9">
        <v>0</v>
      </c>
      <c r="K206" s="9">
        <v>51.32</v>
      </c>
      <c r="L206" s="27">
        <v>236.4</v>
      </c>
    </row>
    <row r="207" spans="1:12" x14ac:dyDescent="0.25">
      <c r="A207" s="35"/>
      <c r="B207" s="34" t="s">
        <v>309</v>
      </c>
      <c r="C207" s="26">
        <v>3191.7</v>
      </c>
      <c r="D207" s="38">
        <v>3191.7</v>
      </c>
      <c r="E207" s="9">
        <v>127.67</v>
      </c>
      <c r="F207" s="9">
        <v>0</v>
      </c>
      <c r="G207" s="9">
        <v>0</v>
      </c>
      <c r="H207" s="9">
        <v>0</v>
      </c>
      <c r="I207" s="9">
        <v>3191.7</v>
      </c>
      <c r="J207" s="9">
        <v>0</v>
      </c>
      <c r="K207" s="9">
        <v>50.55</v>
      </c>
      <c r="L207" s="27">
        <v>232.87</v>
      </c>
    </row>
    <row r="208" spans="1:12" x14ac:dyDescent="0.25">
      <c r="A208" s="35"/>
      <c r="B208" s="34" t="s">
        <v>101</v>
      </c>
      <c r="C208" s="26">
        <v>3185.16</v>
      </c>
      <c r="D208" s="38">
        <v>3185.16</v>
      </c>
      <c r="E208" s="9">
        <v>127.41</v>
      </c>
      <c r="F208" s="9">
        <v>0</v>
      </c>
      <c r="G208" s="9">
        <v>0</v>
      </c>
      <c r="H208" s="9">
        <v>0</v>
      </c>
      <c r="I208" s="9">
        <v>3185.16</v>
      </c>
      <c r="J208" s="9">
        <v>0</v>
      </c>
      <c r="K208" s="9">
        <v>50.45</v>
      </c>
      <c r="L208" s="27">
        <v>232.39</v>
      </c>
    </row>
    <row r="209" spans="1:12" x14ac:dyDescent="0.25">
      <c r="A209" s="35"/>
      <c r="B209" s="34" t="s">
        <v>137</v>
      </c>
      <c r="C209" s="26">
        <v>3134.79</v>
      </c>
      <c r="D209" s="38">
        <v>3134.79</v>
      </c>
      <c r="E209" s="9">
        <v>125.39</v>
      </c>
      <c r="F209" s="9">
        <v>0</v>
      </c>
      <c r="G209" s="9">
        <v>0</v>
      </c>
      <c r="H209" s="9">
        <v>0</v>
      </c>
      <c r="I209" s="9">
        <v>3134.79</v>
      </c>
      <c r="J209" s="9">
        <v>0</v>
      </c>
      <c r="K209" s="9">
        <v>49.65</v>
      </c>
      <c r="L209" s="27">
        <v>228.71</v>
      </c>
    </row>
    <row r="210" spans="1:12" x14ac:dyDescent="0.25">
      <c r="A210" s="35"/>
      <c r="B210" s="34" t="s">
        <v>359</v>
      </c>
      <c r="C210" s="26">
        <v>3130.29</v>
      </c>
      <c r="D210" s="38">
        <v>3130.29</v>
      </c>
      <c r="E210" s="9">
        <v>125.21</v>
      </c>
      <c r="F210" s="9">
        <v>0</v>
      </c>
      <c r="G210" s="9">
        <v>0</v>
      </c>
      <c r="H210" s="9">
        <v>0</v>
      </c>
      <c r="I210" s="9">
        <v>3130.29</v>
      </c>
      <c r="J210" s="9">
        <v>0</v>
      </c>
      <c r="K210" s="9">
        <v>49.58</v>
      </c>
      <c r="L210" s="27">
        <v>228.39</v>
      </c>
    </row>
    <row r="211" spans="1:12" x14ac:dyDescent="0.25">
      <c r="A211" s="35"/>
      <c r="B211" s="34" t="s">
        <v>76</v>
      </c>
      <c r="C211" s="26">
        <v>3125</v>
      </c>
      <c r="D211" s="38">
        <v>3125</v>
      </c>
      <c r="E211" s="9">
        <v>125</v>
      </c>
      <c r="F211" s="9">
        <v>0</v>
      </c>
      <c r="G211" s="9">
        <v>0</v>
      </c>
      <c r="H211" s="9">
        <v>0</v>
      </c>
      <c r="I211" s="9">
        <v>3125</v>
      </c>
      <c r="J211" s="9">
        <v>0</v>
      </c>
      <c r="K211" s="9">
        <v>49.5</v>
      </c>
      <c r="L211" s="27">
        <v>228</v>
      </c>
    </row>
    <row r="212" spans="1:12" x14ac:dyDescent="0.25">
      <c r="A212" s="35"/>
      <c r="B212" s="34" t="s">
        <v>232</v>
      </c>
      <c r="C212" s="26">
        <v>3118.7</v>
      </c>
      <c r="D212" s="38">
        <v>3118.7</v>
      </c>
      <c r="E212" s="9">
        <v>124.75</v>
      </c>
      <c r="F212" s="9">
        <v>0</v>
      </c>
      <c r="G212" s="9">
        <v>0</v>
      </c>
      <c r="H212" s="9">
        <v>0</v>
      </c>
      <c r="I212" s="9">
        <v>3118.7</v>
      </c>
      <c r="J212" s="9">
        <v>0</v>
      </c>
      <c r="K212" s="9">
        <v>49.41</v>
      </c>
      <c r="L212" s="27">
        <v>227.54</v>
      </c>
    </row>
    <row r="213" spans="1:12" x14ac:dyDescent="0.25">
      <c r="A213" s="35"/>
      <c r="B213" s="34" t="s">
        <v>310</v>
      </c>
      <c r="C213" s="26">
        <v>3096.6</v>
      </c>
      <c r="D213" s="38">
        <v>3096.6</v>
      </c>
      <c r="E213" s="9">
        <v>123.86</v>
      </c>
      <c r="F213" s="9">
        <v>0</v>
      </c>
      <c r="G213" s="9">
        <v>0</v>
      </c>
      <c r="H213" s="9">
        <v>0</v>
      </c>
      <c r="I213" s="9">
        <v>3096.6</v>
      </c>
      <c r="J213" s="9">
        <v>0</v>
      </c>
      <c r="K213" s="9">
        <v>49.04</v>
      </c>
      <c r="L213" s="27">
        <v>225.93</v>
      </c>
    </row>
    <row r="214" spans="1:12" x14ac:dyDescent="0.25">
      <c r="A214" s="35"/>
      <c r="B214" s="34" t="s">
        <v>245</v>
      </c>
      <c r="C214" s="26">
        <v>3089.56</v>
      </c>
      <c r="D214" s="38">
        <v>3089.56</v>
      </c>
      <c r="E214" s="9">
        <v>123.58</v>
      </c>
      <c r="F214" s="9">
        <v>0</v>
      </c>
      <c r="G214" s="9">
        <v>0</v>
      </c>
      <c r="H214" s="9">
        <v>0</v>
      </c>
      <c r="I214" s="9">
        <v>3089.56</v>
      </c>
      <c r="J214" s="9">
        <v>0</v>
      </c>
      <c r="K214" s="9">
        <v>48.93</v>
      </c>
      <c r="L214" s="27">
        <v>225.4</v>
      </c>
    </row>
    <row r="215" spans="1:12" x14ac:dyDescent="0.25">
      <c r="A215" s="35"/>
      <c r="B215" s="34" t="s">
        <v>99</v>
      </c>
      <c r="C215" s="26">
        <v>3054.5</v>
      </c>
      <c r="D215" s="38">
        <v>3054.5</v>
      </c>
      <c r="E215" s="9">
        <v>122.18</v>
      </c>
      <c r="F215" s="9">
        <v>0</v>
      </c>
      <c r="G215" s="9">
        <v>0</v>
      </c>
      <c r="H215" s="9">
        <v>0</v>
      </c>
      <c r="I215" s="9">
        <v>3054.5</v>
      </c>
      <c r="J215" s="9">
        <v>0</v>
      </c>
      <c r="K215" s="9">
        <v>48.38</v>
      </c>
      <c r="L215" s="27">
        <v>222.86</v>
      </c>
    </row>
    <row r="216" spans="1:12" x14ac:dyDescent="0.25">
      <c r="A216" s="35"/>
      <c r="B216" s="34" t="s">
        <v>317</v>
      </c>
      <c r="C216" s="26">
        <v>3052.66</v>
      </c>
      <c r="D216" s="38">
        <v>3052.66</v>
      </c>
      <c r="E216" s="9">
        <v>122.11</v>
      </c>
      <c r="F216" s="9">
        <v>0</v>
      </c>
      <c r="G216" s="9">
        <v>0</v>
      </c>
      <c r="H216" s="9">
        <v>0</v>
      </c>
      <c r="I216" s="9">
        <v>3052.66</v>
      </c>
      <c r="J216" s="9">
        <v>0</v>
      </c>
      <c r="K216" s="9">
        <v>48.35</v>
      </c>
      <c r="L216" s="27">
        <v>222.71</v>
      </c>
    </row>
    <row r="217" spans="1:12" x14ac:dyDescent="0.25">
      <c r="A217" s="35"/>
      <c r="B217" s="34" t="s">
        <v>113</v>
      </c>
      <c r="C217" s="26">
        <v>3040</v>
      </c>
      <c r="D217" s="38">
        <v>3040</v>
      </c>
      <c r="E217" s="9">
        <v>121.6</v>
      </c>
      <c r="F217" s="9">
        <v>0</v>
      </c>
      <c r="G217" s="9">
        <v>0</v>
      </c>
      <c r="H217" s="9">
        <v>0</v>
      </c>
      <c r="I217" s="9">
        <v>3040</v>
      </c>
      <c r="J217" s="9">
        <v>0</v>
      </c>
      <c r="K217" s="9">
        <v>48.15</v>
      </c>
      <c r="L217" s="27">
        <v>221.8</v>
      </c>
    </row>
    <row r="218" spans="1:12" x14ac:dyDescent="0.25">
      <c r="A218" s="35"/>
      <c r="B218" s="34" t="s">
        <v>266</v>
      </c>
      <c r="C218" s="26">
        <v>2864</v>
      </c>
      <c r="D218" s="38">
        <v>2864</v>
      </c>
      <c r="E218" s="9">
        <v>114.56</v>
      </c>
      <c r="F218" s="9">
        <v>0</v>
      </c>
      <c r="G218" s="9">
        <v>0</v>
      </c>
      <c r="H218" s="9">
        <v>0</v>
      </c>
      <c r="I218" s="9">
        <v>2864</v>
      </c>
      <c r="J218" s="9">
        <v>0</v>
      </c>
      <c r="K218" s="9">
        <v>45.37</v>
      </c>
      <c r="L218" s="27">
        <v>208.96</v>
      </c>
    </row>
    <row r="219" spans="1:12" x14ac:dyDescent="0.25">
      <c r="A219" s="35"/>
      <c r="B219" s="34" t="s">
        <v>367</v>
      </c>
      <c r="C219" s="26">
        <v>2842.4</v>
      </c>
      <c r="D219" s="38">
        <v>2842.4</v>
      </c>
      <c r="E219" s="9">
        <v>113.7</v>
      </c>
      <c r="F219" s="9">
        <v>0</v>
      </c>
      <c r="G219" s="9">
        <v>0</v>
      </c>
      <c r="H219" s="9">
        <v>0</v>
      </c>
      <c r="I219" s="9">
        <v>2842.4</v>
      </c>
      <c r="J219" s="9">
        <v>0</v>
      </c>
      <c r="K219" s="9">
        <v>45.02</v>
      </c>
      <c r="L219" s="27">
        <v>207.38</v>
      </c>
    </row>
    <row r="220" spans="1:12" x14ac:dyDescent="0.25">
      <c r="A220" s="35"/>
      <c r="B220" s="34" t="s">
        <v>135</v>
      </c>
      <c r="C220" s="26">
        <v>2838.22</v>
      </c>
      <c r="D220" s="38">
        <v>2838.22</v>
      </c>
      <c r="E220" s="9">
        <v>113.53</v>
      </c>
      <c r="F220" s="9">
        <v>0</v>
      </c>
      <c r="G220" s="9">
        <v>0</v>
      </c>
      <c r="H220" s="9">
        <v>0</v>
      </c>
      <c r="I220" s="9">
        <v>2838.22</v>
      </c>
      <c r="J220" s="9">
        <v>0</v>
      </c>
      <c r="K220" s="9">
        <v>44.97</v>
      </c>
      <c r="L220" s="27">
        <v>207.08</v>
      </c>
    </row>
    <row r="221" spans="1:12" x14ac:dyDescent="0.25">
      <c r="A221" s="35"/>
      <c r="B221" s="34" t="s">
        <v>151</v>
      </c>
      <c r="C221" s="26">
        <v>2818.88</v>
      </c>
      <c r="D221" s="38">
        <v>2818.88</v>
      </c>
      <c r="E221" s="9">
        <v>112.76</v>
      </c>
      <c r="F221" s="9">
        <v>0</v>
      </c>
      <c r="G221" s="9">
        <v>0</v>
      </c>
      <c r="H221" s="9">
        <v>0</v>
      </c>
      <c r="I221" s="9">
        <v>2818.88</v>
      </c>
      <c r="J221" s="9">
        <v>0</v>
      </c>
      <c r="K221" s="9">
        <v>44.66</v>
      </c>
      <c r="L221" s="27">
        <v>205.66</v>
      </c>
    </row>
    <row r="222" spans="1:12" x14ac:dyDescent="0.25">
      <c r="A222" s="35"/>
      <c r="B222" s="34" t="s">
        <v>316</v>
      </c>
      <c r="C222" s="26">
        <v>2756.1</v>
      </c>
      <c r="D222" s="38">
        <v>2756.1</v>
      </c>
      <c r="E222" s="9">
        <v>110.24</v>
      </c>
      <c r="F222" s="9">
        <v>0</v>
      </c>
      <c r="G222" s="9">
        <v>0</v>
      </c>
      <c r="H222" s="9">
        <v>0</v>
      </c>
      <c r="I222" s="9">
        <v>2756.1</v>
      </c>
      <c r="J222" s="9">
        <v>0</v>
      </c>
      <c r="K222" s="9">
        <v>43.66</v>
      </c>
      <c r="L222" s="27">
        <v>201.09</v>
      </c>
    </row>
    <row r="223" spans="1:12" x14ac:dyDescent="0.25">
      <c r="A223" s="35"/>
      <c r="B223" s="34" t="s">
        <v>172</v>
      </c>
      <c r="C223" s="26">
        <v>909.72</v>
      </c>
      <c r="D223" s="38">
        <v>909.72</v>
      </c>
      <c r="E223" s="9">
        <v>109.17</v>
      </c>
      <c r="F223" s="9">
        <v>0</v>
      </c>
      <c r="G223" s="9">
        <v>0</v>
      </c>
      <c r="H223" s="9">
        <v>0</v>
      </c>
      <c r="I223" s="9">
        <v>909.72</v>
      </c>
      <c r="J223" s="9">
        <v>0</v>
      </c>
      <c r="K223" s="9">
        <v>13.2</v>
      </c>
      <c r="L223" s="27">
        <v>60.84</v>
      </c>
    </row>
    <row r="224" spans="1:12" x14ac:dyDescent="0.25">
      <c r="A224" s="35"/>
      <c r="B224" s="34" t="s">
        <v>278</v>
      </c>
      <c r="C224" s="26">
        <v>2794.77</v>
      </c>
      <c r="D224" s="38">
        <v>2706.8</v>
      </c>
      <c r="E224" s="9">
        <v>108.27</v>
      </c>
      <c r="F224" s="9">
        <v>0</v>
      </c>
      <c r="G224" s="9">
        <v>0</v>
      </c>
      <c r="H224" s="9">
        <v>87.97</v>
      </c>
      <c r="I224" s="9">
        <v>0</v>
      </c>
      <c r="J224" s="9">
        <v>0</v>
      </c>
      <c r="K224" s="9">
        <v>42.88</v>
      </c>
      <c r="L224" s="27">
        <v>197.49</v>
      </c>
    </row>
    <row r="225" spans="1:12" x14ac:dyDescent="0.25">
      <c r="A225" s="35"/>
      <c r="B225" s="34" t="s">
        <v>343</v>
      </c>
      <c r="C225" s="26">
        <v>2673</v>
      </c>
      <c r="D225" s="38">
        <v>2673</v>
      </c>
      <c r="E225" s="9">
        <v>106.92</v>
      </c>
      <c r="F225" s="9">
        <v>0</v>
      </c>
      <c r="G225" s="9">
        <v>0</v>
      </c>
      <c r="H225" s="9">
        <v>0</v>
      </c>
      <c r="I225" s="9">
        <v>2673</v>
      </c>
      <c r="J225" s="9">
        <v>0</v>
      </c>
      <c r="K225" s="9">
        <v>42.34</v>
      </c>
      <c r="L225" s="27">
        <v>195.03</v>
      </c>
    </row>
    <row r="226" spans="1:12" x14ac:dyDescent="0.25">
      <c r="A226" s="35"/>
      <c r="B226" s="34" t="s">
        <v>168</v>
      </c>
      <c r="C226" s="26">
        <v>2630.4</v>
      </c>
      <c r="D226" s="38">
        <v>2630.4</v>
      </c>
      <c r="E226" s="9">
        <v>105.22</v>
      </c>
      <c r="F226" s="9">
        <v>0</v>
      </c>
      <c r="G226" s="9">
        <v>0</v>
      </c>
      <c r="H226" s="9">
        <v>0</v>
      </c>
      <c r="I226" s="9">
        <v>2630.4</v>
      </c>
      <c r="J226" s="9">
        <v>0</v>
      </c>
      <c r="K226" s="9">
        <v>41.67</v>
      </c>
      <c r="L226" s="27">
        <v>191.92</v>
      </c>
    </row>
    <row r="227" spans="1:12" x14ac:dyDescent="0.25">
      <c r="A227" s="35"/>
      <c r="B227" s="34" t="s">
        <v>208</v>
      </c>
      <c r="C227" s="26">
        <v>2617.6699999999996</v>
      </c>
      <c r="D227" s="38">
        <v>2617.6699999999996</v>
      </c>
      <c r="E227" s="9">
        <v>104.71</v>
      </c>
      <c r="F227" s="9">
        <v>0</v>
      </c>
      <c r="G227" s="9">
        <v>0</v>
      </c>
      <c r="H227" s="9">
        <v>0</v>
      </c>
      <c r="I227" s="9">
        <v>2583.8799999999997</v>
      </c>
      <c r="J227" s="9">
        <v>0</v>
      </c>
      <c r="K227" s="9">
        <v>41.46</v>
      </c>
      <c r="L227" s="27">
        <v>190.98</v>
      </c>
    </row>
    <row r="228" spans="1:12" x14ac:dyDescent="0.25">
      <c r="A228" s="35"/>
      <c r="B228" s="34" t="s">
        <v>209</v>
      </c>
      <c r="C228" s="26">
        <v>2580.29</v>
      </c>
      <c r="D228" s="38">
        <v>2580.29</v>
      </c>
      <c r="E228" s="9">
        <v>103.21</v>
      </c>
      <c r="F228" s="9">
        <v>0</v>
      </c>
      <c r="G228" s="9">
        <v>0</v>
      </c>
      <c r="H228" s="9">
        <v>0</v>
      </c>
      <c r="I228" s="9">
        <v>2580.29</v>
      </c>
      <c r="J228" s="9">
        <v>0</v>
      </c>
      <c r="K228" s="9">
        <v>40.880000000000003</v>
      </c>
      <c r="L228" s="27">
        <v>188.27</v>
      </c>
    </row>
    <row r="229" spans="1:12" x14ac:dyDescent="0.25">
      <c r="A229" s="35"/>
      <c r="B229" s="34" t="s">
        <v>240</v>
      </c>
      <c r="C229" s="26">
        <v>2546.1</v>
      </c>
      <c r="D229" s="38">
        <v>2546.1</v>
      </c>
      <c r="E229" s="9">
        <v>101.84</v>
      </c>
      <c r="F229" s="9">
        <v>0</v>
      </c>
      <c r="G229" s="9">
        <v>0</v>
      </c>
      <c r="H229" s="9">
        <v>0</v>
      </c>
      <c r="I229" s="9">
        <v>2546.1</v>
      </c>
      <c r="J229" s="9">
        <v>0</v>
      </c>
      <c r="K229" s="9">
        <v>40.33</v>
      </c>
      <c r="L229" s="27">
        <v>185.76</v>
      </c>
    </row>
    <row r="230" spans="1:12" x14ac:dyDescent="0.25">
      <c r="A230" s="35"/>
      <c r="B230" s="34" t="s">
        <v>214</v>
      </c>
      <c r="C230" s="26">
        <v>2508</v>
      </c>
      <c r="D230" s="38">
        <v>2508</v>
      </c>
      <c r="E230" s="9">
        <v>100.32</v>
      </c>
      <c r="F230" s="9">
        <v>0</v>
      </c>
      <c r="G230" s="9">
        <v>0</v>
      </c>
      <c r="H230" s="9">
        <v>0</v>
      </c>
      <c r="I230" s="9">
        <v>2508</v>
      </c>
      <c r="J230" s="9">
        <v>0</v>
      </c>
      <c r="K230" s="9">
        <v>39.72</v>
      </c>
      <c r="L230" s="27">
        <v>183</v>
      </c>
    </row>
    <row r="231" spans="1:12" x14ac:dyDescent="0.25">
      <c r="A231" s="35"/>
      <c r="B231" s="34" t="s">
        <v>138</v>
      </c>
      <c r="C231" s="26">
        <v>2505.19</v>
      </c>
      <c r="D231" s="38">
        <v>2505.19</v>
      </c>
      <c r="E231" s="9">
        <v>100.21</v>
      </c>
      <c r="F231" s="9">
        <v>0</v>
      </c>
      <c r="G231" s="9">
        <v>0</v>
      </c>
      <c r="H231" s="9">
        <v>0</v>
      </c>
      <c r="I231" s="9">
        <v>2505.19</v>
      </c>
      <c r="J231" s="9">
        <v>0</v>
      </c>
      <c r="K231" s="9">
        <v>39.68</v>
      </c>
      <c r="L231" s="27">
        <v>182.78</v>
      </c>
    </row>
    <row r="232" spans="1:12" x14ac:dyDescent="0.25">
      <c r="A232" s="35"/>
      <c r="B232" s="34" t="s">
        <v>280</v>
      </c>
      <c r="C232" s="26">
        <v>2475.8199999999997</v>
      </c>
      <c r="D232" s="38">
        <v>2475.8199999999997</v>
      </c>
      <c r="E232" s="9">
        <v>99.03</v>
      </c>
      <c r="F232" s="9">
        <v>0</v>
      </c>
      <c r="G232" s="9">
        <v>0</v>
      </c>
      <c r="H232" s="9">
        <v>0</v>
      </c>
      <c r="I232" s="9">
        <v>2475.8199999999997</v>
      </c>
      <c r="J232" s="9">
        <v>0</v>
      </c>
      <c r="K232" s="9">
        <v>39.22</v>
      </c>
      <c r="L232" s="27">
        <v>180.63</v>
      </c>
    </row>
    <row r="233" spans="1:12" x14ac:dyDescent="0.25">
      <c r="A233" s="35"/>
      <c r="B233" s="34" t="s">
        <v>258</v>
      </c>
      <c r="C233" s="26">
        <v>2456.25</v>
      </c>
      <c r="D233" s="38">
        <v>2456.25</v>
      </c>
      <c r="E233" s="9">
        <v>98.25</v>
      </c>
      <c r="F233" s="9">
        <v>0</v>
      </c>
      <c r="G233" s="9">
        <v>0</v>
      </c>
      <c r="H233" s="9">
        <v>0</v>
      </c>
      <c r="I233" s="9">
        <v>2456.25</v>
      </c>
      <c r="J233" s="9">
        <v>0</v>
      </c>
      <c r="K233" s="9">
        <v>38.909999999999997</v>
      </c>
      <c r="L233" s="27">
        <v>179.21</v>
      </c>
    </row>
    <row r="234" spans="1:12" x14ac:dyDescent="0.25">
      <c r="A234" s="35"/>
      <c r="B234" s="34" t="s">
        <v>221</v>
      </c>
      <c r="C234" s="26">
        <v>2430.48</v>
      </c>
      <c r="D234" s="38">
        <v>2430.48</v>
      </c>
      <c r="E234" s="9">
        <v>97.22</v>
      </c>
      <c r="F234" s="9">
        <v>0</v>
      </c>
      <c r="G234" s="9">
        <v>0</v>
      </c>
      <c r="H234" s="9">
        <v>0</v>
      </c>
      <c r="I234" s="9">
        <v>2430.48</v>
      </c>
      <c r="J234" s="9">
        <v>0</v>
      </c>
      <c r="K234" s="9">
        <v>38.5</v>
      </c>
      <c r="L234" s="27">
        <v>177.32</v>
      </c>
    </row>
    <row r="235" spans="1:12" x14ac:dyDescent="0.25">
      <c r="A235" s="35"/>
      <c r="B235" s="34" t="s">
        <v>130</v>
      </c>
      <c r="C235" s="26">
        <v>711</v>
      </c>
      <c r="D235" s="38">
        <v>711</v>
      </c>
      <c r="E235" s="9">
        <v>85.32</v>
      </c>
      <c r="F235" s="9">
        <v>0</v>
      </c>
      <c r="G235" s="9">
        <v>0</v>
      </c>
      <c r="H235" s="9">
        <v>0</v>
      </c>
      <c r="I235" s="9">
        <v>711</v>
      </c>
      <c r="J235" s="9">
        <v>0</v>
      </c>
      <c r="K235" s="9">
        <v>10.32</v>
      </c>
      <c r="L235" s="27">
        <v>47.55</v>
      </c>
    </row>
    <row r="236" spans="1:12" x14ac:dyDescent="0.25">
      <c r="A236" s="35"/>
      <c r="B236" s="34" t="s">
        <v>304</v>
      </c>
      <c r="C236" s="26">
        <v>682.8</v>
      </c>
      <c r="D236" s="38">
        <v>682.8</v>
      </c>
      <c r="E236" s="9">
        <v>81.94</v>
      </c>
      <c r="F236" s="9">
        <v>0</v>
      </c>
      <c r="G236" s="9">
        <v>0</v>
      </c>
      <c r="H236" s="9">
        <v>0</v>
      </c>
      <c r="I236" s="9">
        <v>682.8</v>
      </c>
      <c r="J236" s="9">
        <v>0</v>
      </c>
      <c r="K236" s="9">
        <v>9.9</v>
      </c>
      <c r="L236" s="27">
        <v>45.66</v>
      </c>
    </row>
    <row r="237" spans="1:12" x14ac:dyDescent="0.25">
      <c r="A237" s="35"/>
      <c r="B237" s="34" t="s">
        <v>353</v>
      </c>
      <c r="C237" s="26">
        <v>1975.8</v>
      </c>
      <c r="D237" s="38">
        <v>1975.8</v>
      </c>
      <c r="E237" s="9">
        <v>79.03</v>
      </c>
      <c r="F237" s="9">
        <v>0</v>
      </c>
      <c r="G237" s="9">
        <v>0</v>
      </c>
      <c r="H237" s="9">
        <v>0</v>
      </c>
      <c r="I237" s="9">
        <v>1975.8</v>
      </c>
      <c r="J237" s="9">
        <v>0</v>
      </c>
      <c r="K237" s="9">
        <v>31.3</v>
      </c>
      <c r="L237" s="27">
        <v>144.16</v>
      </c>
    </row>
    <row r="238" spans="1:12" x14ac:dyDescent="0.25">
      <c r="A238" s="35"/>
      <c r="B238" s="34" t="s">
        <v>227</v>
      </c>
      <c r="C238" s="26">
        <v>1811.55</v>
      </c>
      <c r="D238" s="38">
        <v>1811.55</v>
      </c>
      <c r="E238" s="9">
        <v>72.459999999999994</v>
      </c>
      <c r="F238" s="9">
        <v>0</v>
      </c>
      <c r="G238" s="9">
        <v>0</v>
      </c>
      <c r="H238" s="9">
        <v>0</v>
      </c>
      <c r="I238" s="9">
        <v>1811.55</v>
      </c>
      <c r="J238" s="9">
        <v>0</v>
      </c>
      <c r="K238" s="9">
        <v>28.69</v>
      </c>
      <c r="L238" s="27">
        <v>132.16999999999999</v>
      </c>
    </row>
    <row r="239" spans="1:12" x14ac:dyDescent="0.25">
      <c r="A239" s="35"/>
      <c r="B239" s="34" t="s">
        <v>74</v>
      </c>
      <c r="C239" s="26">
        <v>1734.2</v>
      </c>
      <c r="D239" s="38">
        <v>1734.2</v>
      </c>
      <c r="E239" s="9">
        <v>69.37</v>
      </c>
      <c r="F239" s="9">
        <v>0</v>
      </c>
      <c r="G239" s="9">
        <v>0</v>
      </c>
      <c r="H239" s="9">
        <v>0</v>
      </c>
      <c r="I239" s="9">
        <v>1734.2</v>
      </c>
      <c r="J239" s="9">
        <v>0</v>
      </c>
      <c r="K239" s="9">
        <v>27.47</v>
      </c>
      <c r="L239" s="27">
        <v>126.53</v>
      </c>
    </row>
    <row r="240" spans="1:12" x14ac:dyDescent="0.25">
      <c r="A240" s="35"/>
      <c r="B240" s="34" t="s">
        <v>357</v>
      </c>
      <c r="C240" s="26">
        <v>1582.2</v>
      </c>
      <c r="D240" s="38">
        <v>1582.2</v>
      </c>
      <c r="E240" s="9">
        <v>63.29</v>
      </c>
      <c r="F240" s="9">
        <v>0</v>
      </c>
      <c r="G240" s="9">
        <v>0</v>
      </c>
      <c r="H240" s="9">
        <v>0</v>
      </c>
      <c r="I240" s="9">
        <v>1582.2</v>
      </c>
      <c r="J240" s="9">
        <v>0</v>
      </c>
      <c r="K240" s="9">
        <v>25.07</v>
      </c>
      <c r="L240" s="27">
        <v>115.44</v>
      </c>
    </row>
    <row r="241" spans="1:12" x14ac:dyDescent="0.25">
      <c r="A241" s="35"/>
      <c r="B241" s="34" t="s">
        <v>193</v>
      </c>
      <c r="C241" s="26">
        <v>1549.4</v>
      </c>
      <c r="D241" s="38">
        <v>1549.4</v>
      </c>
      <c r="E241" s="9">
        <v>61.98</v>
      </c>
      <c r="F241" s="9">
        <v>0</v>
      </c>
      <c r="G241" s="9">
        <v>0</v>
      </c>
      <c r="H241" s="9">
        <v>0</v>
      </c>
      <c r="I241" s="9">
        <v>1549.4</v>
      </c>
      <c r="J241" s="9">
        <v>0</v>
      </c>
      <c r="K241" s="9">
        <v>24.54</v>
      </c>
      <c r="L241" s="27">
        <v>113.04</v>
      </c>
    </row>
    <row r="242" spans="1:12" x14ac:dyDescent="0.25">
      <c r="A242" s="35"/>
      <c r="B242" s="34" t="s">
        <v>263</v>
      </c>
      <c r="C242" s="26">
        <v>1404.2</v>
      </c>
      <c r="D242" s="38">
        <v>1360</v>
      </c>
      <c r="E242" s="9">
        <v>54.4</v>
      </c>
      <c r="F242" s="9">
        <v>0</v>
      </c>
      <c r="G242" s="9">
        <v>0</v>
      </c>
      <c r="H242" s="9">
        <v>44.2</v>
      </c>
      <c r="I242" s="9">
        <v>0</v>
      </c>
      <c r="J242" s="9">
        <v>0</v>
      </c>
      <c r="K242" s="9">
        <v>21.54</v>
      </c>
      <c r="L242" s="27">
        <v>99.23</v>
      </c>
    </row>
    <row r="243" spans="1:12" x14ac:dyDescent="0.25">
      <c r="A243" s="35"/>
      <c r="B243" s="34" t="s">
        <v>233</v>
      </c>
      <c r="C243" s="26">
        <v>1325.24</v>
      </c>
      <c r="D243" s="38">
        <v>1325.24</v>
      </c>
      <c r="E243" s="9">
        <v>53.01</v>
      </c>
      <c r="F243" s="9">
        <v>0</v>
      </c>
      <c r="G243" s="9">
        <v>0</v>
      </c>
      <c r="H243" s="9">
        <v>0</v>
      </c>
      <c r="I243" s="9">
        <v>1325.24</v>
      </c>
      <c r="J243" s="9">
        <v>0</v>
      </c>
      <c r="K243" s="9">
        <v>20.99</v>
      </c>
      <c r="L243" s="27">
        <v>96.69</v>
      </c>
    </row>
    <row r="244" spans="1:12" x14ac:dyDescent="0.25">
      <c r="A244" s="35"/>
      <c r="B244" s="34" t="s">
        <v>300</v>
      </c>
      <c r="C244" s="26">
        <v>1323</v>
      </c>
      <c r="D244" s="38">
        <v>1323</v>
      </c>
      <c r="E244" s="9">
        <v>52.92</v>
      </c>
      <c r="F244" s="9">
        <v>0</v>
      </c>
      <c r="G244" s="9">
        <v>0</v>
      </c>
      <c r="H244" s="9">
        <v>42.99</v>
      </c>
      <c r="I244" s="9">
        <v>1323</v>
      </c>
      <c r="J244" s="9">
        <v>0</v>
      </c>
      <c r="K244" s="9">
        <v>20.96</v>
      </c>
      <c r="L244" s="27">
        <v>96.53</v>
      </c>
    </row>
    <row r="245" spans="1:12" x14ac:dyDescent="0.25">
      <c r="A245" s="35"/>
      <c r="B245" s="34" t="s">
        <v>100</v>
      </c>
      <c r="C245" s="26">
        <v>1199.27</v>
      </c>
      <c r="D245" s="38">
        <v>1199.27</v>
      </c>
      <c r="E245" s="9">
        <v>47.97</v>
      </c>
      <c r="F245" s="9">
        <v>0</v>
      </c>
      <c r="G245" s="9">
        <v>0</v>
      </c>
      <c r="H245" s="9">
        <v>0</v>
      </c>
      <c r="I245" s="9">
        <v>1199.27</v>
      </c>
      <c r="J245" s="9">
        <v>0</v>
      </c>
      <c r="K245" s="9">
        <v>19</v>
      </c>
      <c r="L245" s="27">
        <v>87.5</v>
      </c>
    </row>
    <row r="246" spans="1:12" x14ac:dyDescent="0.25">
      <c r="A246" s="35"/>
      <c r="B246" s="34" t="s">
        <v>141</v>
      </c>
      <c r="C246" s="26">
        <v>1039.5999999999999</v>
      </c>
      <c r="D246" s="38">
        <v>1039.5999999999999</v>
      </c>
      <c r="E246" s="9">
        <v>41.58</v>
      </c>
      <c r="F246" s="9">
        <v>0</v>
      </c>
      <c r="G246" s="9">
        <v>0</v>
      </c>
      <c r="H246" s="9">
        <v>0</v>
      </c>
      <c r="I246" s="9">
        <v>939.6</v>
      </c>
      <c r="J246" s="9">
        <v>0</v>
      </c>
      <c r="K246" s="9">
        <v>16.46</v>
      </c>
      <c r="L246" s="27">
        <v>75.849999999999994</v>
      </c>
    </row>
    <row r="247" spans="1:12" x14ac:dyDescent="0.25">
      <c r="A247" s="35"/>
      <c r="B247" s="34" t="s">
        <v>289</v>
      </c>
      <c r="C247" s="26">
        <v>930.16</v>
      </c>
      <c r="D247" s="38">
        <v>930.16</v>
      </c>
      <c r="E247" s="9">
        <v>37.21</v>
      </c>
      <c r="F247" s="9">
        <v>0</v>
      </c>
      <c r="G247" s="9">
        <v>0</v>
      </c>
      <c r="H247" s="9">
        <v>0</v>
      </c>
      <c r="I247" s="9">
        <v>777</v>
      </c>
      <c r="J247" s="9">
        <v>0</v>
      </c>
      <c r="K247" s="9">
        <v>14.73</v>
      </c>
      <c r="L247" s="27">
        <v>67.87</v>
      </c>
    </row>
    <row r="248" spans="1:12" x14ac:dyDescent="0.25">
      <c r="A248" s="35"/>
      <c r="B248" s="34" t="s">
        <v>252</v>
      </c>
      <c r="C248" s="26">
        <v>669.98</v>
      </c>
      <c r="D248" s="38">
        <v>669.98</v>
      </c>
      <c r="E248" s="9">
        <v>26.8</v>
      </c>
      <c r="F248" s="9">
        <v>0</v>
      </c>
      <c r="G248" s="9">
        <v>0</v>
      </c>
      <c r="H248" s="9">
        <v>0</v>
      </c>
      <c r="I248" s="9">
        <v>575.79999999999995</v>
      </c>
      <c r="J248" s="9">
        <v>0</v>
      </c>
      <c r="K248" s="9">
        <v>10.61</v>
      </c>
      <c r="L248" s="27">
        <v>48.89</v>
      </c>
    </row>
    <row r="249" spans="1:12" x14ac:dyDescent="0.25">
      <c r="A249" s="35"/>
      <c r="B249" s="34" t="s">
        <v>102</v>
      </c>
      <c r="C249" s="26">
        <v>594</v>
      </c>
      <c r="D249" s="38">
        <v>594</v>
      </c>
      <c r="E249" s="9">
        <v>23.76</v>
      </c>
      <c r="F249" s="9">
        <v>0</v>
      </c>
      <c r="G249" s="9">
        <v>0</v>
      </c>
      <c r="H249" s="9">
        <v>0</v>
      </c>
      <c r="I249" s="9">
        <v>594</v>
      </c>
      <c r="J249" s="9">
        <v>0</v>
      </c>
      <c r="K249" s="9">
        <v>9.41</v>
      </c>
      <c r="L249" s="27">
        <v>43.34</v>
      </c>
    </row>
    <row r="250" spans="1:12" x14ac:dyDescent="0.25">
      <c r="A250" s="35"/>
      <c r="B250" s="34" t="s">
        <v>256</v>
      </c>
      <c r="C250" s="26">
        <v>189.28</v>
      </c>
      <c r="D250" s="38">
        <v>189.28</v>
      </c>
      <c r="E250" s="9">
        <v>22.71</v>
      </c>
      <c r="F250" s="9">
        <v>0</v>
      </c>
      <c r="G250" s="9">
        <v>0</v>
      </c>
      <c r="H250" s="9">
        <v>0</v>
      </c>
      <c r="I250" s="9">
        <v>189.28</v>
      </c>
      <c r="J250" s="9">
        <v>0</v>
      </c>
      <c r="K250" s="9">
        <v>2.74</v>
      </c>
      <c r="L250" s="27">
        <v>12.66</v>
      </c>
    </row>
    <row r="251" spans="1:12" x14ac:dyDescent="0.25">
      <c r="A251" s="35"/>
      <c r="B251" s="34" t="s">
        <v>121</v>
      </c>
      <c r="C251" s="26">
        <v>482.75</v>
      </c>
      <c r="D251" s="38">
        <v>482.75</v>
      </c>
      <c r="E251" s="9">
        <v>19.309999999999999</v>
      </c>
      <c r="F251" s="9">
        <v>0</v>
      </c>
      <c r="G251" s="9">
        <v>0</v>
      </c>
      <c r="H251" s="9">
        <v>0</v>
      </c>
      <c r="I251" s="9">
        <v>482.75</v>
      </c>
      <c r="J251" s="9">
        <v>0</v>
      </c>
      <c r="K251" s="9">
        <v>7.65</v>
      </c>
      <c r="L251" s="27">
        <v>35.22</v>
      </c>
    </row>
    <row r="252" spans="1:12" x14ac:dyDescent="0.25">
      <c r="A252" s="35"/>
      <c r="B252" s="34" t="s">
        <v>127</v>
      </c>
      <c r="C252" s="26">
        <v>441.44</v>
      </c>
      <c r="D252" s="38">
        <v>441.44</v>
      </c>
      <c r="E252" s="9">
        <v>17.66</v>
      </c>
      <c r="F252" s="9">
        <v>0</v>
      </c>
      <c r="G252" s="9">
        <v>0</v>
      </c>
      <c r="H252" s="9">
        <v>0</v>
      </c>
      <c r="I252" s="9">
        <v>441.44</v>
      </c>
      <c r="J252" s="9">
        <v>0</v>
      </c>
      <c r="K252" s="9">
        <v>7</v>
      </c>
      <c r="L252" s="27">
        <v>32.22</v>
      </c>
    </row>
    <row r="253" spans="1:12" x14ac:dyDescent="0.25">
      <c r="A253" s="35"/>
      <c r="B253" s="34" t="s">
        <v>284</v>
      </c>
      <c r="C253" s="26">
        <v>134.76</v>
      </c>
      <c r="D253" s="38">
        <v>134.76</v>
      </c>
      <c r="E253" s="9">
        <v>16.170000000000002</v>
      </c>
      <c r="F253" s="9">
        <v>0</v>
      </c>
      <c r="G253" s="9">
        <v>0</v>
      </c>
      <c r="H253" s="9">
        <v>0</v>
      </c>
      <c r="I253" s="9">
        <v>134.76</v>
      </c>
      <c r="J253" s="9">
        <v>0</v>
      </c>
      <c r="K253" s="9">
        <v>1.96</v>
      </c>
      <c r="L253" s="27">
        <v>9.01</v>
      </c>
    </row>
    <row r="254" spans="1:12" x14ac:dyDescent="0.25">
      <c r="A254" s="35"/>
      <c r="B254" s="34" t="s">
        <v>324</v>
      </c>
      <c r="C254" s="26">
        <v>404.5</v>
      </c>
      <c r="D254" s="38">
        <v>394.54</v>
      </c>
      <c r="E254" s="9">
        <v>15.78</v>
      </c>
      <c r="F254" s="9">
        <v>0</v>
      </c>
      <c r="G254" s="9">
        <v>0</v>
      </c>
      <c r="H254" s="9">
        <v>9.9600000000000009</v>
      </c>
      <c r="I254" s="9">
        <v>0</v>
      </c>
      <c r="J254" s="9">
        <v>0</v>
      </c>
      <c r="K254" s="9">
        <v>6.25</v>
      </c>
      <c r="L254" s="27">
        <v>28.79</v>
      </c>
    </row>
    <row r="255" spans="1:12" x14ac:dyDescent="0.25">
      <c r="A255" s="35"/>
      <c r="B255" s="34" t="s">
        <v>114</v>
      </c>
      <c r="C255" s="26">
        <v>97.5</v>
      </c>
      <c r="D255" s="38">
        <v>97.5</v>
      </c>
      <c r="E255" s="9">
        <v>11.7</v>
      </c>
      <c r="F255" s="9">
        <v>0</v>
      </c>
      <c r="G255" s="9">
        <v>0</v>
      </c>
      <c r="H255" s="9">
        <v>0</v>
      </c>
      <c r="I255" s="9">
        <v>97.5</v>
      </c>
      <c r="J255" s="9">
        <v>0</v>
      </c>
      <c r="K255" s="9">
        <v>1.42</v>
      </c>
      <c r="L255" s="27">
        <v>6.52</v>
      </c>
    </row>
    <row r="256" spans="1:12" x14ac:dyDescent="0.25">
      <c r="A256" s="35"/>
      <c r="B256" s="34" t="s">
        <v>218</v>
      </c>
      <c r="C256" s="26">
        <v>89.23</v>
      </c>
      <c r="D256" s="38">
        <v>86.43</v>
      </c>
      <c r="E256" s="9">
        <v>10.37</v>
      </c>
      <c r="F256" s="9">
        <v>0</v>
      </c>
      <c r="G256" s="9">
        <v>0</v>
      </c>
      <c r="H256" s="9">
        <v>2.8</v>
      </c>
      <c r="I256" s="9">
        <v>0</v>
      </c>
      <c r="J256" s="9">
        <v>0</v>
      </c>
      <c r="K256" s="9">
        <v>1.25</v>
      </c>
      <c r="L256" s="27">
        <v>5.78</v>
      </c>
    </row>
    <row r="257" spans="1:12" x14ac:dyDescent="0.25">
      <c r="A257" s="35"/>
      <c r="B257" s="34" t="s">
        <v>191</v>
      </c>
      <c r="C257" s="26">
        <v>84.26</v>
      </c>
      <c r="D257" s="38">
        <v>84.26</v>
      </c>
      <c r="E257" s="9">
        <v>10.11</v>
      </c>
      <c r="F257" s="9">
        <v>0</v>
      </c>
      <c r="G257" s="9">
        <v>0</v>
      </c>
      <c r="H257" s="9">
        <v>0</v>
      </c>
      <c r="I257" s="9">
        <v>84.26</v>
      </c>
      <c r="J257" s="9">
        <v>0</v>
      </c>
      <c r="K257" s="9">
        <v>1.22</v>
      </c>
      <c r="L257" s="27">
        <v>5.64</v>
      </c>
    </row>
    <row r="258" spans="1:12" x14ac:dyDescent="0.25">
      <c r="A258" s="35"/>
      <c r="B258" s="34" t="s">
        <v>283</v>
      </c>
      <c r="C258" s="26">
        <v>244.66</v>
      </c>
      <c r="D258" s="38">
        <v>244.66</v>
      </c>
      <c r="E258" s="9">
        <v>9.7800000000000011</v>
      </c>
      <c r="F258" s="9">
        <v>0</v>
      </c>
      <c r="G258" s="9">
        <v>0</v>
      </c>
      <c r="H258" s="9">
        <v>0</v>
      </c>
      <c r="I258" s="9">
        <v>182.84</v>
      </c>
      <c r="J258" s="9">
        <v>0</v>
      </c>
      <c r="K258" s="9">
        <v>3.86</v>
      </c>
      <c r="L258" s="27">
        <v>17.86</v>
      </c>
    </row>
    <row r="259" spans="1:12" x14ac:dyDescent="0.25">
      <c r="A259" s="35"/>
      <c r="B259" s="34" t="s">
        <v>305</v>
      </c>
      <c r="C259" s="26">
        <v>96.87</v>
      </c>
      <c r="D259" s="38">
        <v>96.87</v>
      </c>
      <c r="E259" s="9">
        <v>9.69</v>
      </c>
      <c r="F259" s="9">
        <v>0</v>
      </c>
      <c r="G259" s="9">
        <v>0</v>
      </c>
      <c r="H259" s="9">
        <v>0</v>
      </c>
      <c r="I259" s="9">
        <v>96.87</v>
      </c>
      <c r="J259" s="9">
        <v>0</v>
      </c>
      <c r="K259" s="9">
        <v>1.44</v>
      </c>
      <c r="L259" s="27">
        <v>6.63</v>
      </c>
    </row>
    <row r="260" spans="1:12" x14ac:dyDescent="0.25">
      <c r="A260" s="35"/>
      <c r="B260" s="34" t="s">
        <v>279</v>
      </c>
      <c r="C260" s="26">
        <v>240.25</v>
      </c>
      <c r="D260" s="38">
        <v>240.25</v>
      </c>
      <c r="E260" s="9">
        <v>9.61</v>
      </c>
      <c r="F260" s="9">
        <v>0</v>
      </c>
      <c r="G260" s="9">
        <v>0</v>
      </c>
      <c r="H260" s="9">
        <v>0</v>
      </c>
      <c r="I260" s="9">
        <v>200.8</v>
      </c>
      <c r="J260" s="9">
        <v>0</v>
      </c>
      <c r="K260" s="9">
        <v>3.81</v>
      </c>
      <c r="L260" s="27">
        <v>17.53</v>
      </c>
    </row>
    <row r="261" spans="1:12" x14ac:dyDescent="0.25">
      <c r="A261" s="35"/>
      <c r="B261" s="34" t="s">
        <v>290</v>
      </c>
      <c r="C261" s="26">
        <v>239.2</v>
      </c>
      <c r="D261" s="38">
        <v>239.2</v>
      </c>
      <c r="E261" s="9">
        <v>9.57</v>
      </c>
      <c r="F261" s="9">
        <v>0</v>
      </c>
      <c r="G261" s="9">
        <v>0</v>
      </c>
      <c r="H261" s="9">
        <v>0</v>
      </c>
      <c r="I261" s="9">
        <v>239.2</v>
      </c>
      <c r="J261" s="9">
        <v>0</v>
      </c>
      <c r="K261" s="9">
        <v>3.79</v>
      </c>
      <c r="L261" s="27">
        <v>17.45</v>
      </c>
    </row>
    <row r="262" spans="1:12" x14ac:dyDescent="0.25">
      <c r="A262" s="35"/>
      <c r="B262" s="34" t="s">
        <v>295</v>
      </c>
      <c r="C262" s="26">
        <v>204.26</v>
      </c>
      <c r="D262" s="38">
        <v>204.26</v>
      </c>
      <c r="E262" s="9">
        <v>8.17</v>
      </c>
      <c r="F262" s="9">
        <v>0</v>
      </c>
      <c r="G262" s="9">
        <v>0</v>
      </c>
      <c r="H262" s="9">
        <v>0</v>
      </c>
      <c r="I262" s="9">
        <v>204.26</v>
      </c>
      <c r="J262" s="9">
        <v>0</v>
      </c>
      <c r="K262" s="9">
        <v>3.24</v>
      </c>
      <c r="L262" s="27">
        <v>14.9</v>
      </c>
    </row>
    <row r="263" spans="1:12" x14ac:dyDescent="0.25">
      <c r="A263" s="35"/>
      <c r="B263" s="34" t="s">
        <v>355</v>
      </c>
      <c r="C263" s="26">
        <v>202.47</v>
      </c>
      <c r="D263" s="38">
        <v>202.47</v>
      </c>
      <c r="E263" s="9">
        <v>8.1</v>
      </c>
      <c r="F263" s="9">
        <v>0</v>
      </c>
      <c r="G263" s="9">
        <v>0</v>
      </c>
      <c r="H263" s="9">
        <v>0</v>
      </c>
      <c r="I263" s="9">
        <v>148.5</v>
      </c>
      <c r="J263" s="9">
        <v>0</v>
      </c>
      <c r="K263" s="9">
        <v>3.21</v>
      </c>
      <c r="L263" s="27">
        <v>14.77</v>
      </c>
    </row>
    <row r="264" spans="1:12" x14ac:dyDescent="0.25">
      <c r="A264" s="35"/>
      <c r="B264" s="34" t="s">
        <v>220</v>
      </c>
      <c r="C264" s="26">
        <v>200.85</v>
      </c>
      <c r="D264" s="38">
        <v>200.85</v>
      </c>
      <c r="E264" s="9">
        <v>8.0299999999999994</v>
      </c>
      <c r="F264" s="9">
        <v>0</v>
      </c>
      <c r="G264" s="9">
        <v>0</v>
      </c>
      <c r="H264" s="9">
        <v>0</v>
      </c>
      <c r="I264" s="9">
        <v>200.85</v>
      </c>
      <c r="J264" s="9">
        <v>0</v>
      </c>
      <c r="K264" s="9">
        <v>3.18</v>
      </c>
      <c r="L264" s="27">
        <v>14.65</v>
      </c>
    </row>
    <row r="265" spans="1:12" x14ac:dyDescent="0.25">
      <c r="A265" s="35"/>
      <c r="B265" s="34" t="s">
        <v>79</v>
      </c>
      <c r="C265" s="26">
        <v>191.89999999999998</v>
      </c>
      <c r="D265" s="38">
        <v>191.89999999999998</v>
      </c>
      <c r="E265" s="9">
        <v>7.67</v>
      </c>
      <c r="F265" s="9">
        <v>0</v>
      </c>
      <c r="G265" s="9">
        <v>0</v>
      </c>
      <c r="H265" s="9">
        <v>0</v>
      </c>
      <c r="I265" s="9">
        <v>191.89999999999998</v>
      </c>
      <c r="J265" s="9">
        <v>0</v>
      </c>
      <c r="K265" s="9">
        <v>3.04</v>
      </c>
      <c r="L265" s="27">
        <v>14</v>
      </c>
    </row>
    <row r="266" spans="1:12" x14ac:dyDescent="0.25">
      <c r="A266" s="35"/>
      <c r="B266" s="34" t="s">
        <v>217</v>
      </c>
      <c r="C266" s="26">
        <v>182.51</v>
      </c>
      <c r="D266" s="38">
        <v>181.45999999999998</v>
      </c>
      <c r="E266" s="9">
        <v>7.25</v>
      </c>
      <c r="F266" s="9">
        <v>0</v>
      </c>
      <c r="G266" s="9">
        <v>0</v>
      </c>
      <c r="H266" s="9">
        <v>1.05</v>
      </c>
      <c r="I266" s="9">
        <v>148.91</v>
      </c>
      <c r="J266" s="9">
        <v>0</v>
      </c>
      <c r="K266" s="9">
        <v>2.89</v>
      </c>
      <c r="L266" s="27">
        <v>13.24</v>
      </c>
    </row>
    <row r="267" spans="1:12" x14ac:dyDescent="0.25">
      <c r="A267" s="35"/>
      <c r="B267" s="34" t="s">
        <v>155</v>
      </c>
      <c r="C267" s="26">
        <v>177.23000000000002</v>
      </c>
      <c r="D267" s="38">
        <v>177.23000000000002</v>
      </c>
      <c r="E267" s="9">
        <v>7.09</v>
      </c>
      <c r="F267" s="9">
        <v>0</v>
      </c>
      <c r="G267" s="9">
        <v>0</v>
      </c>
      <c r="H267" s="9">
        <v>0</v>
      </c>
      <c r="I267" s="9">
        <v>140.65</v>
      </c>
      <c r="J267" s="9">
        <v>0</v>
      </c>
      <c r="K267" s="9">
        <v>2.81</v>
      </c>
      <c r="L267" s="27">
        <v>12.93</v>
      </c>
    </row>
    <row r="268" spans="1:12" x14ac:dyDescent="0.25">
      <c r="A268" s="35"/>
      <c r="B268" s="34" t="s">
        <v>70</v>
      </c>
      <c r="C268" s="26">
        <v>59.05</v>
      </c>
      <c r="D268" s="38">
        <v>59.05</v>
      </c>
      <c r="E268" s="9">
        <v>7.09</v>
      </c>
      <c r="F268" s="9">
        <v>0</v>
      </c>
      <c r="G268" s="9">
        <v>0</v>
      </c>
      <c r="H268" s="9">
        <v>0</v>
      </c>
      <c r="I268" s="9">
        <v>59.05</v>
      </c>
      <c r="J268" s="9">
        <v>0</v>
      </c>
      <c r="K268" s="9">
        <v>0.86</v>
      </c>
      <c r="L268" s="27">
        <v>3.95</v>
      </c>
    </row>
    <row r="269" spans="1:12" x14ac:dyDescent="0.25">
      <c r="A269" s="35"/>
      <c r="B269" s="34" t="s">
        <v>251</v>
      </c>
      <c r="C269" s="26">
        <v>160.35</v>
      </c>
      <c r="D269" s="38">
        <v>156.55000000000001</v>
      </c>
      <c r="E269" s="9">
        <v>6.26</v>
      </c>
      <c r="F269" s="9">
        <v>0</v>
      </c>
      <c r="G269" s="9">
        <v>0</v>
      </c>
      <c r="H269" s="9">
        <v>3.8</v>
      </c>
      <c r="I269" s="9">
        <v>0</v>
      </c>
      <c r="J269" s="9">
        <v>0</v>
      </c>
      <c r="K269" s="9">
        <v>2.48</v>
      </c>
      <c r="L269" s="27">
        <v>11.42</v>
      </c>
    </row>
    <row r="270" spans="1:12" x14ac:dyDescent="0.25">
      <c r="A270" s="35"/>
      <c r="B270" s="34" t="s">
        <v>159</v>
      </c>
      <c r="C270" s="26">
        <v>152.37</v>
      </c>
      <c r="D270" s="38">
        <v>152.37</v>
      </c>
      <c r="E270" s="9">
        <v>6.09</v>
      </c>
      <c r="F270" s="9">
        <v>0</v>
      </c>
      <c r="G270" s="9">
        <v>0</v>
      </c>
      <c r="H270" s="9">
        <v>0</v>
      </c>
      <c r="I270" s="9">
        <v>98.4</v>
      </c>
      <c r="J270" s="9">
        <v>0</v>
      </c>
      <c r="K270" s="9">
        <v>2.41</v>
      </c>
      <c r="L270" s="27">
        <v>11.12</v>
      </c>
    </row>
    <row r="271" spans="1:12" x14ac:dyDescent="0.25">
      <c r="A271" s="35"/>
      <c r="B271" s="34" t="s">
        <v>105</v>
      </c>
      <c r="C271" s="26">
        <v>147.81</v>
      </c>
      <c r="D271" s="38">
        <v>147.81</v>
      </c>
      <c r="E271" s="9">
        <v>5.91</v>
      </c>
      <c r="F271" s="9">
        <v>0</v>
      </c>
      <c r="G271" s="9">
        <v>0</v>
      </c>
      <c r="H271" s="9">
        <v>0</v>
      </c>
      <c r="I271" s="9">
        <v>90.81</v>
      </c>
      <c r="J271" s="9">
        <v>0</v>
      </c>
      <c r="K271" s="9">
        <v>2.34</v>
      </c>
      <c r="L271" s="27">
        <v>10.79</v>
      </c>
    </row>
    <row r="272" spans="1:12" x14ac:dyDescent="0.25">
      <c r="A272" s="35"/>
      <c r="B272" s="34" t="s">
        <v>308</v>
      </c>
      <c r="C272" s="26">
        <v>139.49</v>
      </c>
      <c r="D272" s="38">
        <v>139.49</v>
      </c>
      <c r="E272" s="9">
        <v>5.58</v>
      </c>
      <c r="F272" s="9">
        <v>0</v>
      </c>
      <c r="G272" s="9">
        <v>0</v>
      </c>
      <c r="H272" s="9">
        <v>0</v>
      </c>
      <c r="I272" s="9">
        <v>105.7</v>
      </c>
      <c r="J272" s="9">
        <v>0</v>
      </c>
      <c r="K272" s="9">
        <v>2.21</v>
      </c>
      <c r="L272" s="27">
        <v>10.18</v>
      </c>
    </row>
    <row r="273" spans="1:12" x14ac:dyDescent="0.25">
      <c r="A273" s="35"/>
      <c r="B273" s="34" t="s">
        <v>327</v>
      </c>
      <c r="C273" s="26">
        <v>105</v>
      </c>
      <c r="D273" s="38">
        <v>105</v>
      </c>
      <c r="E273" s="9">
        <v>4.2</v>
      </c>
      <c r="F273" s="9">
        <v>0</v>
      </c>
      <c r="G273" s="9">
        <v>0</v>
      </c>
      <c r="H273" s="9">
        <v>0</v>
      </c>
      <c r="I273" s="9">
        <v>105</v>
      </c>
      <c r="J273" s="9">
        <v>0</v>
      </c>
      <c r="K273" s="9">
        <v>1.66</v>
      </c>
      <c r="L273" s="27">
        <v>7.66</v>
      </c>
    </row>
    <row r="274" spans="1:12" x14ac:dyDescent="0.25">
      <c r="A274" s="35"/>
      <c r="B274" s="34" t="s">
        <v>219</v>
      </c>
      <c r="C274" s="26">
        <v>99.5</v>
      </c>
      <c r="D274" s="38">
        <v>99.5</v>
      </c>
      <c r="E274" s="9">
        <v>3.98</v>
      </c>
      <c r="F274" s="9">
        <v>0</v>
      </c>
      <c r="G274" s="9">
        <v>0</v>
      </c>
      <c r="H274" s="9">
        <v>0</v>
      </c>
      <c r="I274" s="9">
        <v>99.5</v>
      </c>
      <c r="J274" s="9">
        <v>0</v>
      </c>
      <c r="K274" s="9">
        <v>1.58</v>
      </c>
      <c r="L274" s="27">
        <v>7.26</v>
      </c>
    </row>
    <row r="275" spans="1:12" x14ac:dyDescent="0.25">
      <c r="A275" s="35"/>
      <c r="B275" s="34" t="s">
        <v>200</v>
      </c>
      <c r="C275" s="26">
        <v>98.77</v>
      </c>
      <c r="D275" s="38">
        <v>98.77</v>
      </c>
      <c r="E275" s="9">
        <v>3.95</v>
      </c>
      <c r="F275" s="9">
        <v>0</v>
      </c>
      <c r="G275" s="9">
        <v>0</v>
      </c>
      <c r="H275" s="9">
        <v>0</v>
      </c>
      <c r="I275" s="9">
        <v>77.19</v>
      </c>
      <c r="J275" s="9">
        <v>0</v>
      </c>
      <c r="K275" s="9">
        <v>1.56</v>
      </c>
      <c r="L275" s="27">
        <v>7.21</v>
      </c>
    </row>
    <row r="276" spans="1:12" x14ac:dyDescent="0.25">
      <c r="A276" s="35"/>
      <c r="B276" s="34" t="s">
        <v>174</v>
      </c>
      <c r="C276" s="26">
        <v>93.73</v>
      </c>
      <c r="D276" s="38">
        <v>93.73</v>
      </c>
      <c r="E276" s="9">
        <v>3.75</v>
      </c>
      <c r="F276" s="9">
        <v>0</v>
      </c>
      <c r="G276" s="9">
        <v>0</v>
      </c>
      <c r="H276" s="9">
        <v>0</v>
      </c>
      <c r="I276" s="9">
        <v>65.7</v>
      </c>
      <c r="J276" s="9">
        <v>0</v>
      </c>
      <c r="K276" s="9">
        <v>1.48</v>
      </c>
      <c r="L276" s="27">
        <v>6.84</v>
      </c>
    </row>
    <row r="277" spans="1:12" x14ac:dyDescent="0.25">
      <c r="A277" s="35"/>
      <c r="B277" s="34" t="s">
        <v>171</v>
      </c>
      <c r="C277" s="26">
        <v>91.99</v>
      </c>
      <c r="D277" s="38">
        <v>91.99</v>
      </c>
      <c r="E277" s="9">
        <v>3.68</v>
      </c>
      <c r="F277" s="9">
        <v>0</v>
      </c>
      <c r="G277" s="9">
        <v>0</v>
      </c>
      <c r="H277" s="9">
        <v>0</v>
      </c>
      <c r="I277" s="9">
        <v>91.99</v>
      </c>
      <c r="J277" s="9">
        <v>0</v>
      </c>
      <c r="K277" s="9">
        <v>1.46</v>
      </c>
      <c r="L277" s="27">
        <v>6.71</v>
      </c>
    </row>
    <row r="278" spans="1:12" x14ac:dyDescent="0.25">
      <c r="A278" s="35"/>
      <c r="B278" s="34" t="s">
        <v>271</v>
      </c>
      <c r="C278" s="26">
        <v>89.97</v>
      </c>
      <c r="D278" s="38">
        <v>89.97</v>
      </c>
      <c r="E278" s="9">
        <v>3.6</v>
      </c>
      <c r="F278" s="9">
        <v>0</v>
      </c>
      <c r="G278" s="9">
        <v>0</v>
      </c>
      <c r="H278" s="9">
        <v>0</v>
      </c>
      <c r="I278" s="9">
        <v>89.97</v>
      </c>
      <c r="J278" s="9">
        <v>0</v>
      </c>
      <c r="K278" s="9">
        <v>1.43</v>
      </c>
      <c r="L278" s="27">
        <v>6.56</v>
      </c>
    </row>
    <row r="279" spans="1:12" x14ac:dyDescent="0.25">
      <c r="A279" s="35"/>
      <c r="B279" s="34" t="s">
        <v>181</v>
      </c>
      <c r="C279" s="26">
        <v>83.24</v>
      </c>
      <c r="D279" s="38">
        <v>83.24</v>
      </c>
      <c r="E279" s="9">
        <v>3.33</v>
      </c>
      <c r="F279" s="9">
        <v>0</v>
      </c>
      <c r="G279" s="9">
        <v>0</v>
      </c>
      <c r="H279" s="9">
        <v>0</v>
      </c>
      <c r="I279" s="9">
        <v>40.08</v>
      </c>
      <c r="J279" s="9">
        <v>0</v>
      </c>
      <c r="K279" s="9">
        <v>1.32</v>
      </c>
      <c r="L279" s="27">
        <v>6.07</v>
      </c>
    </row>
    <row r="280" spans="1:12" x14ac:dyDescent="0.25">
      <c r="A280" s="35"/>
      <c r="B280" s="34" t="s">
        <v>210</v>
      </c>
      <c r="C280" s="26">
        <v>77.56</v>
      </c>
      <c r="D280" s="38">
        <v>77.56</v>
      </c>
      <c r="E280" s="9">
        <v>3.1</v>
      </c>
      <c r="F280" s="9">
        <v>0</v>
      </c>
      <c r="G280" s="9">
        <v>0</v>
      </c>
      <c r="H280" s="9">
        <v>0</v>
      </c>
      <c r="I280" s="9">
        <v>53.4</v>
      </c>
      <c r="J280" s="9">
        <v>0</v>
      </c>
      <c r="K280" s="9">
        <v>1.23</v>
      </c>
      <c r="L280" s="27">
        <v>5.66</v>
      </c>
    </row>
    <row r="281" spans="1:12" x14ac:dyDescent="0.25">
      <c r="A281" s="35"/>
      <c r="B281" s="34" t="s">
        <v>346</v>
      </c>
      <c r="C281" s="26">
        <v>71.83</v>
      </c>
      <c r="D281" s="38">
        <v>71.83</v>
      </c>
      <c r="E281" s="9">
        <v>2.87</v>
      </c>
      <c r="F281" s="9">
        <v>0</v>
      </c>
      <c r="G281" s="9">
        <v>0</v>
      </c>
      <c r="H281" s="9">
        <v>0</v>
      </c>
      <c r="I281" s="9">
        <v>43.8</v>
      </c>
      <c r="J281" s="9">
        <v>0</v>
      </c>
      <c r="K281" s="9">
        <v>1.1399999999999999</v>
      </c>
      <c r="L281" s="27">
        <v>5.24</v>
      </c>
    </row>
    <row r="282" spans="1:12" x14ac:dyDescent="0.25">
      <c r="A282" s="35"/>
      <c r="B282" s="34" t="s">
        <v>350</v>
      </c>
      <c r="C282" s="26">
        <v>68.95</v>
      </c>
      <c r="D282" s="38">
        <v>68.95</v>
      </c>
      <c r="E282" s="9">
        <v>2.76</v>
      </c>
      <c r="F282" s="9">
        <v>0</v>
      </c>
      <c r="G282" s="9">
        <v>0</v>
      </c>
      <c r="H282" s="9">
        <v>0</v>
      </c>
      <c r="I282" s="9">
        <v>68.95</v>
      </c>
      <c r="J282" s="9">
        <v>0</v>
      </c>
      <c r="K282" s="9">
        <v>1.0900000000000001</v>
      </c>
      <c r="L282" s="27">
        <v>5.03</v>
      </c>
    </row>
    <row r="283" spans="1:12" x14ac:dyDescent="0.25">
      <c r="A283" s="35"/>
      <c r="B283" s="34" t="s">
        <v>182</v>
      </c>
      <c r="C283" s="26">
        <v>68.11</v>
      </c>
      <c r="D283" s="38">
        <v>68.11</v>
      </c>
      <c r="E283" s="9">
        <v>2.72</v>
      </c>
      <c r="F283" s="9">
        <v>0</v>
      </c>
      <c r="G283" s="9">
        <v>0</v>
      </c>
      <c r="H283" s="9">
        <v>0</v>
      </c>
      <c r="I283" s="9">
        <v>40.08</v>
      </c>
      <c r="J283" s="9">
        <v>0</v>
      </c>
      <c r="K283" s="9">
        <v>1.08</v>
      </c>
      <c r="L283" s="27">
        <v>4.97</v>
      </c>
    </row>
    <row r="284" spans="1:12" x14ac:dyDescent="0.25">
      <c r="A284" s="35"/>
      <c r="B284" s="34" t="s">
        <v>347</v>
      </c>
      <c r="C284" s="26">
        <v>67.7</v>
      </c>
      <c r="D284" s="38">
        <v>67.7</v>
      </c>
      <c r="E284" s="9">
        <v>2.7</v>
      </c>
      <c r="F284" s="9">
        <v>0</v>
      </c>
      <c r="G284" s="9">
        <v>0</v>
      </c>
      <c r="H284" s="9">
        <v>0</v>
      </c>
      <c r="I284" s="9">
        <v>67.7</v>
      </c>
      <c r="J284" s="9">
        <v>0</v>
      </c>
      <c r="K284" s="9">
        <v>1.08</v>
      </c>
      <c r="L284" s="27">
        <v>4.9400000000000004</v>
      </c>
    </row>
    <row r="285" spans="1:12" x14ac:dyDescent="0.25">
      <c r="A285" s="35"/>
      <c r="B285" s="34" t="s">
        <v>248</v>
      </c>
      <c r="C285" s="26">
        <v>59.93</v>
      </c>
      <c r="D285" s="38">
        <v>59.93</v>
      </c>
      <c r="E285" s="9">
        <v>2.4</v>
      </c>
      <c r="F285" s="9">
        <v>0</v>
      </c>
      <c r="G285" s="9">
        <v>0</v>
      </c>
      <c r="H285" s="9">
        <v>0</v>
      </c>
      <c r="I285" s="9">
        <v>31.9</v>
      </c>
      <c r="J285" s="9">
        <v>0</v>
      </c>
      <c r="K285" s="9">
        <v>0.95</v>
      </c>
      <c r="L285" s="27">
        <v>4.37</v>
      </c>
    </row>
    <row r="286" spans="1:12" x14ac:dyDescent="0.25">
      <c r="A286" s="35"/>
      <c r="B286" s="34" t="s">
        <v>136</v>
      </c>
      <c r="C286" s="26">
        <v>58.11</v>
      </c>
      <c r="D286" s="38">
        <v>58.11</v>
      </c>
      <c r="E286" s="9">
        <v>2.3199999999999998</v>
      </c>
      <c r="F286" s="9">
        <v>0</v>
      </c>
      <c r="G286" s="9">
        <v>0</v>
      </c>
      <c r="H286" s="9">
        <v>0</v>
      </c>
      <c r="I286" s="9">
        <v>58.11</v>
      </c>
      <c r="J286" s="9">
        <v>0</v>
      </c>
      <c r="K286" s="9">
        <v>0.92</v>
      </c>
      <c r="L286" s="27">
        <v>4.24</v>
      </c>
    </row>
    <row r="287" spans="1:12" x14ac:dyDescent="0.25">
      <c r="A287" s="35"/>
      <c r="B287" s="34" t="s">
        <v>288</v>
      </c>
      <c r="C287" s="26">
        <v>57.35</v>
      </c>
      <c r="D287" s="38">
        <v>57.35</v>
      </c>
      <c r="E287" s="9">
        <v>2.29</v>
      </c>
      <c r="F287" s="9">
        <v>0</v>
      </c>
      <c r="G287" s="9">
        <v>0</v>
      </c>
      <c r="H287" s="9">
        <v>0</v>
      </c>
      <c r="I287" s="9">
        <v>30.4</v>
      </c>
      <c r="J287" s="9">
        <v>0</v>
      </c>
      <c r="K287" s="9">
        <v>0.91</v>
      </c>
      <c r="L287" s="27">
        <v>4.18</v>
      </c>
    </row>
    <row r="288" spans="1:12" x14ac:dyDescent="0.25">
      <c r="A288" s="35"/>
      <c r="B288" s="34" t="s">
        <v>111</v>
      </c>
      <c r="C288" s="26">
        <v>54.79</v>
      </c>
      <c r="D288" s="38">
        <v>54.79</v>
      </c>
      <c r="E288" s="9">
        <v>2.19</v>
      </c>
      <c r="F288" s="9">
        <v>0</v>
      </c>
      <c r="G288" s="9">
        <v>0</v>
      </c>
      <c r="H288" s="9">
        <v>0</v>
      </c>
      <c r="I288" s="9">
        <v>54.79</v>
      </c>
      <c r="J288" s="9">
        <v>0</v>
      </c>
      <c r="K288" s="9">
        <v>0.87</v>
      </c>
      <c r="L288" s="27">
        <v>4</v>
      </c>
    </row>
    <row r="289" spans="1:12" x14ac:dyDescent="0.25">
      <c r="A289" s="35"/>
      <c r="B289" s="34" t="s">
        <v>325</v>
      </c>
      <c r="C289" s="26">
        <v>47.89</v>
      </c>
      <c r="D289" s="38">
        <v>47.89</v>
      </c>
      <c r="E289" s="9">
        <v>1.92</v>
      </c>
      <c r="F289" s="9">
        <v>0</v>
      </c>
      <c r="G289" s="9">
        <v>0</v>
      </c>
      <c r="H289" s="9">
        <v>0</v>
      </c>
      <c r="I289" s="9">
        <v>47.89</v>
      </c>
      <c r="J289" s="9">
        <v>0</v>
      </c>
      <c r="K289" s="9">
        <v>0.76</v>
      </c>
      <c r="L289" s="27">
        <v>3.49</v>
      </c>
    </row>
    <row r="290" spans="1:12" x14ac:dyDescent="0.25">
      <c r="A290" s="35"/>
      <c r="B290" s="34" t="s">
        <v>207</v>
      </c>
      <c r="C290" s="26">
        <v>47.89</v>
      </c>
      <c r="D290" s="38">
        <v>47.89</v>
      </c>
      <c r="E290" s="9">
        <v>1.92</v>
      </c>
      <c r="F290" s="9">
        <v>0</v>
      </c>
      <c r="G290" s="9">
        <v>0</v>
      </c>
      <c r="H290" s="9">
        <v>0</v>
      </c>
      <c r="I290" s="9">
        <v>47.89</v>
      </c>
      <c r="J290" s="9">
        <v>0</v>
      </c>
      <c r="K290" s="9">
        <v>0.76</v>
      </c>
      <c r="L290" s="27">
        <v>3.49</v>
      </c>
    </row>
    <row r="291" spans="1:12" x14ac:dyDescent="0.25">
      <c r="A291" s="35"/>
      <c r="B291" s="34" t="s">
        <v>322</v>
      </c>
      <c r="C291" s="26">
        <v>47.66</v>
      </c>
      <c r="D291" s="38">
        <v>47.66</v>
      </c>
      <c r="E291" s="9">
        <v>1.91</v>
      </c>
      <c r="F291" s="9">
        <v>0</v>
      </c>
      <c r="G291" s="9">
        <v>0</v>
      </c>
      <c r="H291" s="9">
        <v>0</v>
      </c>
      <c r="I291" s="9">
        <v>47.66</v>
      </c>
      <c r="J291" s="9">
        <v>0</v>
      </c>
      <c r="K291" s="9">
        <v>0.75</v>
      </c>
      <c r="L291" s="27">
        <v>3.48</v>
      </c>
    </row>
    <row r="292" spans="1:12" x14ac:dyDescent="0.25">
      <c r="A292" s="35"/>
      <c r="B292" s="34" t="s">
        <v>358</v>
      </c>
      <c r="C292" s="26">
        <v>46.94</v>
      </c>
      <c r="D292" s="38">
        <v>46.94</v>
      </c>
      <c r="E292" s="9">
        <v>1.88</v>
      </c>
      <c r="F292" s="9">
        <v>0</v>
      </c>
      <c r="G292" s="9">
        <v>0</v>
      </c>
      <c r="H292" s="9">
        <v>0</v>
      </c>
      <c r="I292" s="9">
        <v>46.94</v>
      </c>
      <c r="J292" s="9">
        <v>0</v>
      </c>
      <c r="K292" s="9">
        <v>0.74</v>
      </c>
      <c r="L292" s="27">
        <v>3.42</v>
      </c>
    </row>
    <row r="293" spans="1:12" x14ac:dyDescent="0.25">
      <c r="A293" s="35"/>
      <c r="B293" s="34" t="s">
        <v>205</v>
      </c>
      <c r="C293" s="26">
        <v>33.9</v>
      </c>
      <c r="D293" s="38">
        <v>33.9</v>
      </c>
      <c r="E293" s="9">
        <v>1.36</v>
      </c>
      <c r="F293" s="9">
        <v>0</v>
      </c>
      <c r="G293" s="9">
        <v>0</v>
      </c>
      <c r="H293" s="9">
        <v>0</v>
      </c>
      <c r="I293" s="9">
        <v>33.9</v>
      </c>
      <c r="J293" s="9">
        <v>0</v>
      </c>
      <c r="K293" s="9">
        <v>0.54</v>
      </c>
      <c r="L293" s="27">
        <v>2.4700000000000002</v>
      </c>
    </row>
    <row r="294" spans="1:12" x14ac:dyDescent="0.25">
      <c r="A294" s="35"/>
      <c r="B294" s="34" t="s">
        <v>53</v>
      </c>
      <c r="C294" s="26">
        <v>60523.199999999997</v>
      </c>
      <c r="D294" s="38">
        <v>0</v>
      </c>
      <c r="E294" s="9">
        <v>0</v>
      </c>
      <c r="F294" s="9">
        <v>60523.199999999997</v>
      </c>
      <c r="G294" s="9">
        <v>0</v>
      </c>
      <c r="H294" s="9">
        <v>0</v>
      </c>
      <c r="I294" s="9">
        <v>60523.199999999997</v>
      </c>
      <c r="J294" s="9">
        <v>0</v>
      </c>
      <c r="K294" s="9">
        <v>998.63</v>
      </c>
      <c r="L294" s="27">
        <v>4599.76</v>
      </c>
    </row>
    <row r="295" spans="1:12" x14ac:dyDescent="0.25">
      <c r="A295" s="15" t="s">
        <v>91</v>
      </c>
      <c r="B295" s="16"/>
      <c r="C295" s="22">
        <v>2314682.9000000004</v>
      </c>
      <c r="D295" s="37">
        <v>2249883.9300000011</v>
      </c>
      <c r="E295" s="23">
        <v>93022.540000000023</v>
      </c>
      <c r="F295" s="23">
        <v>60523.199999999997</v>
      </c>
      <c r="G295" s="23">
        <v>0</v>
      </c>
      <c r="H295" s="23">
        <v>4318.7599999999993</v>
      </c>
      <c r="I295" s="23">
        <v>2181953.8800000004</v>
      </c>
      <c r="J295" s="23">
        <v>0</v>
      </c>
      <c r="K295" s="23">
        <v>36591.119999999995</v>
      </c>
      <c r="L295" s="24">
        <v>168540.97999999992</v>
      </c>
    </row>
    <row r="296" spans="1:12" x14ac:dyDescent="0.25">
      <c r="A296" s="15" t="s">
        <v>43</v>
      </c>
      <c r="B296" s="15" t="s">
        <v>43</v>
      </c>
      <c r="C296" s="22"/>
      <c r="D296" s="37"/>
      <c r="E296" s="23"/>
      <c r="F296" s="23"/>
      <c r="G296" s="23"/>
      <c r="H296" s="23"/>
      <c r="I296" s="23"/>
      <c r="J296" s="23"/>
      <c r="K296" s="23"/>
      <c r="L296" s="24"/>
    </row>
    <row r="297" spans="1:12" x14ac:dyDescent="0.25">
      <c r="A297" s="35"/>
      <c r="B297" s="34" t="s">
        <v>72</v>
      </c>
      <c r="C297" s="26">
        <v>-468</v>
      </c>
      <c r="D297" s="38">
        <v>-468</v>
      </c>
      <c r="E297" s="9">
        <v>-18.72</v>
      </c>
      <c r="F297" s="9">
        <v>0</v>
      </c>
      <c r="G297" s="9">
        <v>0</v>
      </c>
      <c r="H297" s="9">
        <v>0</v>
      </c>
      <c r="I297" s="9">
        <v>0</v>
      </c>
      <c r="J297" s="9">
        <v>0</v>
      </c>
      <c r="K297" s="9">
        <v>-7.41</v>
      </c>
      <c r="L297" s="27">
        <v>-34.15</v>
      </c>
    </row>
    <row r="298" spans="1:12" x14ac:dyDescent="0.25">
      <c r="A298" s="35"/>
      <c r="B298" s="34" t="s">
        <v>121</v>
      </c>
      <c r="C298" s="26">
        <v>-482.79</v>
      </c>
      <c r="D298" s="38">
        <v>-482.79</v>
      </c>
      <c r="E298" s="9">
        <v>-19.309999999999999</v>
      </c>
      <c r="F298" s="9">
        <v>0</v>
      </c>
      <c r="G298" s="9">
        <v>0</v>
      </c>
      <c r="H298" s="9">
        <v>0</v>
      </c>
      <c r="I298" s="9">
        <v>0</v>
      </c>
      <c r="J298" s="9">
        <v>0</v>
      </c>
      <c r="K298" s="9">
        <v>-7.65</v>
      </c>
      <c r="L298" s="27">
        <v>-35.22</v>
      </c>
    </row>
    <row r="299" spans="1:12" x14ac:dyDescent="0.25">
      <c r="A299" s="35"/>
      <c r="B299" s="34" t="s">
        <v>370</v>
      </c>
      <c r="C299" s="26">
        <v>-953.7</v>
      </c>
      <c r="D299" s="38">
        <v>-953.7</v>
      </c>
      <c r="E299" s="9">
        <v>-38.15</v>
      </c>
      <c r="F299" s="9">
        <v>0</v>
      </c>
      <c r="G299" s="9">
        <v>0</v>
      </c>
      <c r="H299" s="9">
        <v>0</v>
      </c>
      <c r="I299" s="9">
        <v>0</v>
      </c>
      <c r="J299" s="9">
        <v>0</v>
      </c>
      <c r="K299" s="9">
        <v>-15.11</v>
      </c>
      <c r="L299" s="27">
        <v>-69.58</v>
      </c>
    </row>
    <row r="300" spans="1:12" x14ac:dyDescent="0.25">
      <c r="A300" s="35"/>
      <c r="B300" s="34" t="s">
        <v>267</v>
      </c>
      <c r="C300" s="26">
        <v>-3349.6</v>
      </c>
      <c r="D300" s="38">
        <v>-3349.6</v>
      </c>
      <c r="E300" s="9">
        <v>-133.97999999999999</v>
      </c>
      <c r="F300" s="9">
        <v>0</v>
      </c>
      <c r="G300" s="9">
        <v>0</v>
      </c>
      <c r="H300" s="9">
        <v>0</v>
      </c>
      <c r="I300" s="9">
        <v>0</v>
      </c>
      <c r="J300" s="9">
        <v>0</v>
      </c>
      <c r="K300" s="9">
        <v>-53.06</v>
      </c>
      <c r="L300" s="27">
        <v>-244.39</v>
      </c>
    </row>
    <row r="301" spans="1:12" x14ac:dyDescent="0.25">
      <c r="A301" s="15" t="s">
        <v>44</v>
      </c>
      <c r="B301" s="16"/>
      <c r="C301" s="22">
        <v>-5254.0899999999992</v>
      </c>
      <c r="D301" s="37">
        <v>-5254.0899999999992</v>
      </c>
      <c r="E301" s="23">
        <v>-210.16</v>
      </c>
      <c r="F301" s="23">
        <v>0</v>
      </c>
      <c r="G301" s="23">
        <v>0</v>
      </c>
      <c r="H301" s="23">
        <v>0</v>
      </c>
      <c r="I301" s="23">
        <v>0</v>
      </c>
      <c r="J301" s="23">
        <v>0</v>
      </c>
      <c r="K301" s="23">
        <v>-83.23</v>
      </c>
      <c r="L301" s="24">
        <v>-383.34</v>
      </c>
    </row>
    <row r="302" spans="1:12" x14ac:dyDescent="0.25">
      <c r="A302" s="28" t="s">
        <v>7</v>
      </c>
      <c r="B302" s="36"/>
      <c r="C302" s="29">
        <v>911460.75000000058</v>
      </c>
      <c r="D302" s="39">
        <v>2239345.9500000007</v>
      </c>
      <c r="E302" s="30">
        <v>92601.030000000028</v>
      </c>
      <c r="F302" s="30">
        <v>-1315169.1499999994</v>
      </c>
      <c r="G302" s="30">
        <v>28885.15</v>
      </c>
      <c r="H302" s="30">
        <v>4319.6899999999996</v>
      </c>
      <c r="I302" s="30">
        <v>1181321.9700000002</v>
      </c>
      <c r="J302" s="30">
        <v>0</v>
      </c>
      <c r="K302" s="30">
        <v>20173.659999999996</v>
      </c>
      <c r="L302" s="31">
        <v>93626.599999999933</v>
      </c>
    </row>
  </sheetData>
  <pageMargins left="0.511811024" right="0.511811024" top="0.78740157499999996" bottom="0.78740157499999996" header="0.31496062000000002" footer="0.31496062000000002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Dados</vt:lpstr>
      <vt:lpstr>DATA-CFOP</vt:lpstr>
      <vt:lpstr>CFOP-DATA</vt:lpstr>
      <vt:lpstr>EMITENTE X DUP</vt:lpstr>
      <vt:lpstr>Dados!nfs_conf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tadeu</dc:creator>
  <cp:lastModifiedBy>Adriano.Martins</cp:lastModifiedBy>
  <dcterms:created xsi:type="dcterms:W3CDTF">2017-10-11T12:22:40Z</dcterms:created>
  <dcterms:modified xsi:type="dcterms:W3CDTF">2025-02-25T13:18:49Z</dcterms:modified>
</cp:coreProperties>
</file>